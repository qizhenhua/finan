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00" windowWidth="20100" windowHeight="7455"/>
  </bookViews>
  <sheets>
    <sheet name="001593-1" sheetId="1" r:id="rId1"/>
    <sheet name="000961" sheetId="5" r:id="rId2"/>
    <sheet name="000962" sheetId="6" r:id="rId3"/>
    <sheet name="001593-2" sheetId="4" r:id="rId4"/>
    <sheet name="suggest" sheetId="2" r:id="rId5"/>
  </sheets>
  <functionGroups builtInGroupCount="17"/>
  <calcPr calcId="144525"/>
</workbook>
</file>

<file path=xl/calcChain.xml><?xml version="1.0" encoding="utf-8"?>
<calcChain xmlns="http://schemas.openxmlformats.org/spreadsheetml/2006/main">
  <c r="D5" i="6" l="1"/>
  <c r="E5" i="6" s="1"/>
  <c r="G5" i="6" s="1"/>
  <c r="H5" i="6" s="1"/>
  <c r="I5" i="6" s="1"/>
  <c r="F5" i="6"/>
  <c r="F12" i="5"/>
  <c r="G12" i="5"/>
  <c r="H12" i="5"/>
  <c r="I12" i="5" s="1"/>
  <c r="E12" i="5"/>
  <c r="D12" i="5"/>
  <c r="D12" i="4"/>
  <c r="E12" i="4" s="1"/>
  <c r="G12" i="4" s="1"/>
  <c r="F12" i="4"/>
  <c r="F12" i="1"/>
  <c r="G12" i="1"/>
  <c r="H12" i="1"/>
  <c r="I12" i="1" s="1"/>
  <c r="D12" i="1"/>
  <c r="E12" i="1" s="1"/>
  <c r="L11" i="1"/>
  <c r="L4" i="6"/>
  <c r="H12" i="4" l="1"/>
  <c r="I12" i="4" s="1"/>
  <c r="D4" i="6"/>
  <c r="E4" i="6"/>
  <c r="F4" i="6"/>
  <c r="G4" i="6"/>
  <c r="H4" i="6" s="1"/>
  <c r="I4" i="6" s="1"/>
  <c r="F11" i="5"/>
  <c r="E11" i="5"/>
  <c r="G11" i="5" s="1"/>
  <c r="H11" i="5" s="1"/>
  <c r="I11" i="5" s="1"/>
  <c r="E11" i="1"/>
  <c r="G11" i="1" s="1"/>
  <c r="H11" i="1" s="1"/>
  <c r="I11" i="1" s="1"/>
  <c r="F11" i="1"/>
  <c r="E11" i="4"/>
  <c r="F11" i="4"/>
  <c r="G11" i="4"/>
  <c r="H11" i="4" s="1"/>
  <c r="I11" i="4" s="1"/>
  <c r="D11" i="5"/>
  <c r="D11" i="1"/>
  <c r="D11" i="4"/>
  <c r="F10" i="5" l="1"/>
  <c r="G10" i="5"/>
  <c r="H10" i="5" s="1"/>
  <c r="I10" i="5" s="1"/>
  <c r="D10" i="5"/>
  <c r="E10" i="5"/>
  <c r="D3" i="6"/>
  <c r="E3" i="6" s="1"/>
  <c r="F2" i="6"/>
  <c r="F3" i="6" s="1"/>
  <c r="D2" i="6"/>
  <c r="E2" i="6" s="1"/>
  <c r="G2" i="6" s="1"/>
  <c r="F10" i="4"/>
  <c r="G10" i="4"/>
  <c r="H10" i="4"/>
  <c r="I10" i="4" s="1"/>
  <c r="D10" i="4"/>
  <c r="E10" i="4"/>
  <c r="D10" i="1"/>
  <c r="E10" i="1" s="1"/>
  <c r="L4" i="5"/>
  <c r="L5" i="4"/>
  <c r="K8" i="6" l="1"/>
  <c r="K9" i="4"/>
  <c r="L9" i="4"/>
  <c r="M7" i="4"/>
  <c r="M9" i="4" s="1"/>
  <c r="L7" i="4" s="1"/>
  <c r="L8" i="6"/>
  <c r="M6" i="6"/>
  <c r="M8" i="6" s="1"/>
  <c r="K8" i="5"/>
  <c r="L8" i="5"/>
  <c r="M6" i="5"/>
  <c r="M8" i="5" s="1"/>
  <c r="G3" i="6"/>
  <c r="H3" i="6" s="1"/>
  <c r="I3" i="6" s="1"/>
  <c r="L6" i="6" l="1"/>
  <c r="L6" i="5"/>
  <c r="K6" i="5"/>
  <c r="K7" i="4"/>
  <c r="K6" i="6"/>
  <c r="D9" i="5" l="1"/>
  <c r="E9" i="5"/>
  <c r="F9" i="5"/>
  <c r="G9" i="5"/>
  <c r="H9" i="5" s="1"/>
  <c r="I9" i="5" s="1"/>
  <c r="D9" i="4"/>
  <c r="E9" i="4"/>
  <c r="G9" i="4" s="1"/>
  <c r="H9" i="4" s="1"/>
  <c r="I9" i="4" s="1"/>
  <c r="F9" i="4"/>
  <c r="D9" i="1"/>
  <c r="E9" i="1" s="1"/>
  <c r="M13" i="1" l="1"/>
  <c r="M15" i="1" s="1"/>
  <c r="K1" i="2"/>
  <c r="A3" i="2"/>
  <c r="A4" i="2" s="1"/>
  <c r="I1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E2" i="2"/>
  <c r="F2" i="2" s="1"/>
  <c r="E3" i="4"/>
  <c r="E4" i="4"/>
  <c r="E5" i="4"/>
  <c r="E6" i="4"/>
  <c r="E7" i="4"/>
  <c r="E8" i="4"/>
  <c r="E2" i="4"/>
  <c r="D3" i="4"/>
  <c r="D4" i="4"/>
  <c r="D5" i="4"/>
  <c r="D6" i="4"/>
  <c r="D7" i="4"/>
  <c r="D8" i="4"/>
  <c r="D2" i="4"/>
  <c r="D3" i="5"/>
  <c r="E3" i="5" s="1"/>
  <c r="D4" i="5"/>
  <c r="E4" i="5" s="1"/>
  <c r="D5" i="5"/>
  <c r="E5" i="5" s="1"/>
  <c r="D6" i="5"/>
  <c r="E6" i="5" s="1"/>
  <c r="D7" i="5"/>
  <c r="E7" i="5" s="1"/>
  <c r="D8" i="5"/>
  <c r="E8" i="5" s="1"/>
  <c r="D2" i="5"/>
  <c r="E2" i="5" s="1"/>
  <c r="G2" i="5" s="1"/>
  <c r="G3" i="5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2" i="1"/>
  <c r="F2" i="5"/>
  <c r="F3" i="5" s="1"/>
  <c r="F2" i="4"/>
  <c r="F3" i="4" s="1"/>
  <c r="G2" i="4"/>
  <c r="G3" i="4" s="1"/>
  <c r="G4" i="4" s="1"/>
  <c r="G5" i="4" s="1"/>
  <c r="G6" i="4" s="1"/>
  <c r="G7" i="4" s="1"/>
  <c r="G8" i="4" s="1"/>
  <c r="C19" i="2" l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B20" i="2"/>
  <c r="E4" i="2"/>
  <c r="F4" i="2" s="1"/>
  <c r="A5" i="2"/>
  <c r="E3" i="2"/>
  <c r="F3" i="2" s="1"/>
  <c r="H3" i="4"/>
  <c r="H2" i="4"/>
  <c r="I2" i="4" s="1"/>
  <c r="G4" i="5"/>
  <c r="G5" i="5" s="1"/>
  <c r="G6" i="5" s="1"/>
  <c r="G7" i="5" s="1"/>
  <c r="G8" i="5" s="1"/>
  <c r="H3" i="5"/>
  <c r="I3" i="5" s="1"/>
  <c r="F4" i="5"/>
  <c r="I3" i="4"/>
  <c r="F4" i="4"/>
  <c r="B21" i="2" l="1"/>
  <c r="B22" i="2" s="1"/>
  <c r="A6" i="2"/>
  <c r="E5" i="2"/>
  <c r="F5" i="2" s="1"/>
  <c r="F5" i="5"/>
  <c r="H4" i="5"/>
  <c r="I4" i="5" s="1"/>
  <c r="F5" i="4"/>
  <c r="H4" i="4"/>
  <c r="I4" i="4" s="1"/>
  <c r="E2" i="1"/>
  <c r="G2" i="1" s="1"/>
  <c r="F2" i="1"/>
  <c r="F3" i="1" s="1"/>
  <c r="B23" i="2" l="1"/>
  <c r="B24" i="2" s="1"/>
  <c r="A7" i="2"/>
  <c r="E6" i="2"/>
  <c r="F6" i="2" s="1"/>
  <c r="H5" i="5"/>
  <c r="I5" i="5" s="1"/>
  <c r="F6" i="5"/>
  <c r="H5" i="4"/>
  <c r="I5" i="4" s="1"/>
  <c r="F6" i="4"/>
  <c r="G3" i="1"/>
  <c r="G4" i="1" s="1"/>
  <c r="G5" i="1" s="1"/>
  <c r="G6" i="1" s="1"/>
  <c r="G7" i="1" s="1"/>
  <c r="G8" i="1" s="1"/>
  <c r="G9" i="1" s="1"/>
  <c r="F4" i="1"/>
  <c r="G10" i="1" l="1"/>
  <c r="B25" i="2"/>
  <c r="H3" i="1"/>
  <c r="A8" i="2"/>
  <c r="E7" i="2"/>
  <c r="F7" i="2" s="1"/>
  <c r="F7" i="5"/>
  <c r="H6" i="5"/>
  <c r="I6" i="5" s="1"/>
  <c r="F7" i="4"/>
  <c r="H6" i="4"/>
  <c r="I6" i="4" s="1"/>
  <c r="F5" i="1"/>
  <c r="H4" i="1"/>
  <c r="I4" i="1" s="1"/>
  <c r="B26" i="2" l="1"/>
  <c r="B27" i="2" s="1"/>
  <c r="I3" i="1"/>
  <c r="A9" i="2"/>
  <c r="E8" i="2"/>
  <c r="F8" i="2" s="1"/>
  <c r="H7" i="5"/>
  <c r="I7" i="5" s="1"/>
  <c r="F8" i="5"/>
  <c r="H7" i="4"/>
  <c r="I7" i="4" s="1"/>
  <c r="F8" i="4"/>
  <c r="H8" i="4" s="1"/>
  <c r="I8" i="4" s="1"/>
  <c r="F6" i="1"/>
  <c r="H5" i="1"/>
  <c r="B28" i="2" l="1"/>
  <c r="H8" i="5"/>
  <c r="I5" i="1"/>
  <c r="A10" i="2"/>
  <c r="E9" i="2"/>
  <c r="F9" i="2" s="1"/>
  <c r="F7" i="1"/>
  <c r="H6" i="1"/>
  <c r="B29" i="2" l="1"/>
  <c r="I8" i="5"/>
  <c r="I6" i="1"/>
  <c r="A11" i="2"/>
  <c r="E10" i="2"/>
  <c r="F10" i="2" s="1"/>
  <c r="F8" i="1"/>
  <c r="F9" i="1" s="1"/>
  <c r="H7" i="1"/>
  <c r="F10" i="1" l="1"/>
  <c r="H9" i="1"/>
  <c r="I9" i="1" s="1"/>
  <c r="B30" i="2"/>
  <c r="I7" i="1"/>
  <c r="A12" i="2"/>
  <c r="E11" i="2"/>
  <c r="F11" i="2" s="1"/>
  <c r="H8" i="1"/>
  <c r="H10" i="1" l="1"/>
  <c r="L15" i="1"/>
  <c r="B31" i="2"/>
  <c r="I8" i="1"/>
  <c r="A13" i="2"/>
  <c r="E12" i="2"/>
  <c r="F12" i="2" s="1"/>
  <c r="I10" i="1" l="1"/>
  <c r="K15" i="1"/>
  <c r="B32" i="2"/>
  <c r="A14" i="2"/>
  <c r="E13" i="2"/>
  <c r="F13" i="2" s="1"/>
  <c r="L13" i="1" l="1"/>
  <c r="K13" i="1"/>
  <c r="B33" i="2"/>
  <c r="A15" i="2"/>
  <c r="E14" i="2"/>
  <c r="F14" i="2" s="1"/>
  <c r="B34" i="2" l="1"/>
  <c r="A16" i="2"/>
  <c r="E15" i="2"/>
  <c r="F15" i="2" s="1"/>
  <c r="B35" i="2" l="1"/>
  <c r="A17" i="2"/>
  <c r="A18" i="2" s="1"/>
  <c r="E16" i="2"/>
  <c r="F16" i="2" s="1"/>
  <c r="B36" i="2" l="1"/>
  <c r="A19" i="2"/>
  <c r="E18" i="2"/>
  <c r="F18" i="2" s="1"/>
  <c r="E17" i="2"/>
  <c r="F17" i="2" s="1"/>
  <c r="B37" i="2" l="1"/>
  <c r="A20" i="2"/>
  <c r="E19" i="2"/>
  <c r="F19" i="2" s="1"/>
  <c r="B38" i="2" l="1"/>
  <c r="A21" i="2"/>
  <c r="E20" i="2"/>
  <c r="F20" i="2" s="1"/>
  <c r="B39" i="2" l="1"/>
  <c r="E21" i="2"/>
  <c r="F21" i="2" s="1"/>
  <c r="A22" i="2"/>
  <c r="A23" i="2" l="1"/>
  <c r="E22" i="2"/>
  <c r="F22" i="2" s="1"/>
  <c r="B40" i="2"/>
  <c r="B41" i="2" s="1"/>
  <c r="E23" i="2" l="1"/>
  <c r="F23" i="2" s="1"/>
  <c r="A24" i="2"/>
  <c r="A25" i="2" l="1"/>
  <c r="E24" i="2"/>
  <c r="F24" i="2" s="1"/>
  <c r="A26" i="2" l="1"/>
  <c r="E25" i="2"/>
  <c r="F25" i="2" s="1"/>
  <c r="E26" i="2" l="1"/>
  <c r="F26" i="2" s="1"/>
  <c r="A27" i="2"/>
  <c r="A28" i="2" l="1"/>
  <c r="E27" i="2"/>
  <c r="F27" i="2" s="1"/>
  <c r="A29" i="2" l="1"/>
  <c r="E28" i="2"/>
  <c r="F28" i="2" s="1"/>
  <c r="A30" i="2" l="1"/>
  <c r="E29" i="2"/>
  <c r="F29" i="2" s="1"/>
  <c r="A31" i="2" l="1"/>
  <c r="E30" i="2"/>
  <c r="F30" i="2" s="1"/>
  <c r="A32" i="2" l="1"/>
  <c r="E31" i="2"/>
  <c r="F31" i="2" s="1"/>
  <c r="A33" i="2" l="1"/>
  <c r="E32" i="2"/>
  <c r="F32" i="2" s="1"/>
  <c r="A34" i="2" l="1"/>
  <c r="E33" i="2"/>
  <c r="F33" i="2" s="1"/>
  <c r="A35" i="2" l="1"/>
  <c r="E34" i="2"/>
  <c r="F34" i="2" s="1"/>
  <c r="A36" i="2" l="1"/>
  <c r="E35" i="2"/>
  <c r="F35" i="2" s="1"/>
  <c r="A37" i="2" l="1"/>
  <c r="E36" i="2"/>
  <c r="F36" i="2" s="1"/>
  <c r="A38" i="2" l="1"/>
  <c r="E37" i="2"/>
  <c r="F37" i="2" s="1"/>
  <c r="A39" i="2" l="1"/>
  <c r="E38" i="2"/>
  <c r="F38" i="2" s="1"/>
  <c r="A40" i="2" l="1"/>
  <c r="E39" i="2"/>
  <c r="F39" i="2" s="1"/>
  <c r="E40" i="2" l="1"/>
  <c r="F40" i="2" s="1"/>
  <c r="A41" i="2"/>
  <c r="E41" i="2" s="1"/>
  <c r="F41" i="2" s="1"/>
</calcChain>
</file>

<file path=xl/comments1.xml><?xml version="1.0" encoding="utf-8"?>
<comments xmlns="http://schemas.openxmlformats.org/spreadsheetml/2006/main">
  <authors>
    <author>齊振華</author>
  </authors>
  <commentList>
    <comment ref="F2" authorId="0">
      <text>
        <r>
          <rPr>
            <b/>
            <sz val="9"/>
            <color indexed="81"/>
            <rFont val="細明體"/>
            <family val="3"/>
            <charset val="136"/>
          </rPr>
          <t>投資</t>
        </r>
        <r>
          <rPr>
            <b/>
            <sz val="9"/>
            <color indexed="81"/>
            <rFont val="Tahoma"/>
            <family val="2"/>
          </rPr>
          <t>10,</t>
        </r>
        <r>
          <rPr>
            <b/>
            <sz val="9"/>
            <color indexed="81"/>
            <rFont val="細明體"/>
            <family val="3"/>
            <charset val="136"/>
          </rPr>
          <t>將庫存價格拉偏離的的點數</t>
        </r>
      </text>
    </comment>
  </commentList>
</comments>
</file>

<file path=xl/sharedStrings.xml><?xml version="1.0" encoding="utf-8"?>
<sst xmlns="http://schemas.openxmlformats.org/spreadsheetml/2006/main" count="112" uniqueCount="39">
  <si>
    <t>Date</t>
    <phoneticPr fontId="1" type="noConversion"/>
  </si>
  <si>
    <t>Price</t>
    <phoneticPr fontId="1" type="noConversion"/>
  </si>
  <si>
    <t>Invent</t>
    <phoneticPr fontId="1" type="noConversion"/>
  </si>
  <si>
    <t>Share</t>
    <phoneticPr fontId="1" type="noConversion"/>
  </si>
  <si>
    <t>2019-05-06</t>
    <phoneticPr fontId="1" type="noConversion"/>
  </si>
  <si>
    <t>2019-05-07</t>
  </si>
  <si>
    <t>2019-05-08</t>
  </si>
  <si>
    <t>2019-05-09</t>
  </si>
  <si>
    <t>2019-05-10</t>
  </si>
  <si>
    <t>2019-05-13</t>
    <phoneticPr fontId="1" type="noConversion"/>
  </si>
  <si>
    <t>2019-05-14</t>
    <phoneticPr fontId="1" type="noConversion"/>
  </si>
  <si>
    <t>Cumulate Invent</t>
    <phoneticPr fontId="1" type="noConversion"/>
  </si>
  <si>
    <t>Cumulate share</t>
    <phoneticPr fontId="1" type="noConversion"/>
  </si>
  <si>
    <t>stockprice</t>
    <phoneticPr fontId="1" type="noConversion"/>
  </si>
  <si>
    <t>balance rate</t>
    <phoneticPr fontId="1" type="noConversion"/>
  </si>
  <si>
    <t>Deduct</t>
    <phoneticPr fontId="1" type="noConversion"/>
  </si>
  <si>
    <t>deduct</t>
    <phoneticPr fontId="1" type="noConversion"/>
  </si>
  <si>
    <t>deduct</t>
    <phoneticPr fontId="1" type="noConversion"/>
  </si>
  <si>
    <t>2019-05-15</t>
    <phoneticPr fontId="1" type="noConversion"/>
  </si>
  <si>
    <t>suggest:</t>
    <phoneticPr fontId="1" type="noConversion"/>
  </si>
  <si>
    <t>P1
(stock)fix</t>
    <phoneticPr fontId="1" type="noConversion"/>
  </si>
  <si>
    <t>M1
(stock)fix</t>
    <phoneticPr fontId="1" type="noConversion"/>
  </si>
  <si>
    <t>M2
invent</t>
    <phoneticPr fontId="1" type="noConversion"/>
  </si>
  <si>
    <t>P
average</t>
    <phoneticPr fontId="1" type="noConversion"/>
  </si>
  <si>
    <t>stock price
increased(%)</t>
    <phoneticPr fontId="1" type="noConversion"/>
  </si>
  <si>
    <t>P2
(Market)fix</t>
    <phoneticPr fontId="1" type="noConversion"/>
  </si>
  <si>
    <t>Todays Market</t>
    <phoneticPr fontId="1" type="noConversion"/>
  </si>
  <si>
    <t>Cumulate Invent</t>
    <phoneticPr fontId="1" type="noConversion"/>
  </si>
  <si>
    <t>Stockprice:</t>
    <phoneticPr fontId="1" type="noConversion"/>
  </si>
  <si>
    <t>MInvested:</t>
    <phoneticPr fontId="1" type="noConversion"/>
  </si>
  <si>
    <t>Today is: Xth</t>
    <phoneticPr fontId="1" type="noConversion"/>
  </si>
  <si>
    <t>Input estimate:%</t>
    <phoneticPr fontId="1" type="noConversion"/>
  </si>
  <si>
    <t>balance rate:%</t>
    <phoneticPr fontId="1" type="noConversion"/>
  </si>
  <si>
    <t>Cotrol rate:</t>
    <phoneticPr fontId="1" type="noConversion"/>
  </si>
  <si>
    <t>Last Market</t>
    <phoneticPr fontId="1" type="noConversion"/>
  </si>
  <si>
    <t>2019-05-16</t>
    <phoneticPr fontId="1" type="noConversion"/>
  </si>
  <si>
    <t>balance rate:%</t>
    <phoneticPr fontId="1" type="noConversion"/>
  </si>
  <si>
    <t>2019-05-17</t>
  </si>
  <si>
    <t>2019-05-20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</si>
</sst>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0" xfId="0" applyFont="1" applyBorder="1">
      <alignment vertical="center"/>
    </xf>
    <xf numFmtId="10" fontId="4" fillId="0" borderId="0" xfId="0" applyNumberFormat="1" applyFont="1">
      <alignment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14851111236992E-2"/>
          <c:y val="2.1872830412327491E-2"/>
          <c:w val="0.90677945345984801"/>
          <c:h val="0.8356524138639150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suggest!$D$2:$D$41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suggest!$F$2:$F$41</c:f>
              <c:numCache>
                <c:formatCode>General</c:formatCode>
                <c:ptCount val="40"/>
                <c:pt idx="0">
                  <c:v>-7.3101271226416742E-2</c:v>
                </c:pt>
                <c:pt idx="1">
                  <c:v>-0.13283195526340164</c:v>
                </c:pt>
                <c:pt idx="2">
                  <c:v>-0.18255300521483608</c:v>
                </c:pt>
                <c:pt idx="3">
                  <c:v>-0.22458600907006021</c:v>
                </c:pt>
                <c:pt idx="4">
                  <c:v>-0.26058613267132547</c:v>
                </c:pt>
                <c:pt idx="5">
                  <c:v>-0.29176523262354204</c:v>
                </c:pt>
                <c:pt idx="6">
                  <c:v>-0.31903095867399367</c:v>
                </c:pt>
                <c:pt idx="7">
                  <c:v>-0.34307657164698302</c:v>
                </c:pt>
                <c:pt idx="8">
                  <c:v>-0.36444071295594904</c:v>
                </c:pt>
                <c:pt idx="9">
                  <c:v>-0.38354823437890539</c:v>
                </c:pt>
                <c:pt idx="10">
                  <c:v>-0.40073873873988086</c:v>
                </c:pt>
                <c:pt idx="11">
                  <c:v>-0.41628694065042326</c:v>
                </c:pt>
                <c:pt idx="12">
                  <c:v>-0.43041745777487872</c:v>
                </c:pt>
                <c:pt idx="13">
                  <c:v>-0.443315732508065</c:v>
                </c:pt>
                <c:pt idx="14">
                  <c:v>-0.4551362157775074</c:v>
                </c:pt>
                <c:pt idx="15">
                  <c:v>-0.4660085815844095</c:v>
                </c:pt>
                <c:pt idx="16">
                  <c:v>-0.47604250380549606</c:v>
                </c:pt>
                <c:pt idx="17">
                  <c:v>-0.48533136890758222</c:v>
                </c:pt>
                <c:pt idx="18">
                  <c:v>-0.49395519121857578</c:v>
                </c:pt>
                <c:pt idx="19">
                  <c:v>-0.50198292367698016</c:v>
                </c:pt>
                <c:pt idx="20">
                  <c:v>-0.50947430542191974</c:v>
                </c:pt>
                <c:pt idx="21">
                  <c:v>-0.51648135102992931</c:v>
                </c:pt>
                <c:pt idx="22">
                  <c:v>-0.52304955994805225</c:v>
                </c:pt>
                <c:pt idx="23">
                  <c:v>-0.52921890559380902</c:v>
                </c:pt>
                <c:pt idx="24">
                  <c:v>-0.5350246495717248</c:v>
                </c:pt>
                <c:pt idx="25">
                  <c:v>-0.54049801604899583</c:v>
                </c:pt>
                <c:pt idx="26">
                  <c:v>-0.54566675353044936</c:v>
                </c:pt>
                <c:pt idx="27">
                  <c:v>-0.55055560537397019</c:v>
                </c:pt>
                <c:pt idx="28">
                  <c:v>-0.55518670588582397</c:v>
                </c:pt>
                <c:pt idx="29">
                  <c:v>-0.55957991537590734</c:v>
                </c:pt>
                <c:pt idx="30">
                  <c:v>-0.56375310487262187</c:v>
                </c:pt>
                <c:pt idx="31">
                  <c:v>-0.56772239910550804</c:v>
                </c:pt>
                <c:pt idx="32">
                  <c:v>-0.5715023847219447</c:v>
                </c:pt>
                <c:pt idx="33">
                  <c:v>-0.57510628940627972</c:v>
                </c:pt>
                <c:pt idx="34">
                  <c:v>-0.57854613653708364</c:v>
                </c:pt>
                <c:pt idx="35">
                  <c:v>-0.58183287919362225</c:v>
                </c:pt>
                <c:pt idx="36">
                  <c:v>-0.58497651665820882</c:v>
                </c:pt>
                <c:pt idx="37">
                  <c:v>-0.5879861960253252</c:v>
                </c:pt>
                <c:pt idx="38">
                  <c:v>-0.59087030109219452</c:v>
                </c:pt>
                <c:pt idx="39">
                  <c:v>-0.5936365303503055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76096"/>
        <c:axId val="127519744"/>
      </c:scatterChart>
      <c:valAx>
        <c:axId val="12747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519744"/>
        <c:crosses val="autoZero"/>
        <c:crossBetween val="midCat"/>
      </c:valAx>
      <c:valAx>
        <c:axId val="12751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47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75998833479148"/>
          <c:y val="0.9262771015857062"/>
          <c:w val="8.0680073264223273E-2"/>
          <c:h val="6.481330962661925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750792</xdr:colOff>
      <xdr:row>4</xdr:row>
      <xdr:rowOff>159683</xdr:rowOff>
    </xdr:from>
    <xdr:to>
      <xdr:col>15</xdr:col>
      <xdr:colOff>11205</xdr:colOff>
      <xdr:row>21</xdr:row>
      <xdr:rowOff>44825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5"/>
  <sheetViews>
    <sheetView tabSelected="1" zoomScale="85" zoomScaleNormal="85" workbookViewId="0">
      <selection activeCell="O10" sqref="O10"/>
    </sheetView>
  </sheetViews>
  <sheetFormatPr defaultColWidth="9" defaultRowHeight="15.75"/>
  <cols>
    <col min="1" max="1" width="12.44140625" style="1" customWidth="1"/>
    <col min="2" max="2" width="8.44140625" style="2" customWidth="1"/>
    <col min="3" max="3" width="5.44140625" style="2" customWidth="1"/>
    <col min="4" max="4" width="9.2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6" width="16.88671875" style="2" customWidth="1"/>
    <col min="17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15</v>
      </c>
      <c r="E1" s="2" t="s">
        <v>3</v>
      </c>
      <c r="F1" s="2" t="s">
        <v>27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0.59440000000000004</v>
      </c>
      <c r="C2" s="2">
        <v>0</v>
      </c>
      <c r="D2" s="2">
        <f t="shared" ref="D2:D9" si="0">C2</f>
        <v>0</v>
      </c>
      <c r="E2" s="2">
        <f>C2/B2</f>
        <v>0</v>
      </c>
      <c r="F2" s="2">
        <f>C2+0</f>
        <v>0</v>
      </c>
      <c r="G2" s="2">
        <f>E2</f>
        <v>0</v>
      </c>
      <c r="H2" s="2">
        <v>0</v>
      </c>
      <c r="I2" s="2">
        <v>0</v>
      </c>
    </row>
    <row r="3" spans="1:13">
      <c r="A3" s="1" t="s">
        <v>5</v>
      </c>
      <c r="B3" s="2">
        <v>0.5978</v>
      </c>
      <c r="C3" s="2">
        <v>10</v>
      </c>
      <c r="D3" s="2">
        <f t="shared" si="0"/>
        <v>10</v>
      </c>
      <c r="E3" s="2">
        <f t="shared" ref="E3:E8" si="1">D3/B3</f>
        <v>16.728002676480429</v>
      </c>
      <c r="F3" s="2">
        <f t="shared" ref="F3:F8" si="2">C3+F2</f>
        <v>10</v>
      </c>
      <c r="G3" s="2">
        <f t="shared" ref="G3:G8" si="3">G2+E3</f>
        <v>16.728002676480429</v>
      </c>
      <c r="H3" s="2">
        <f t="shared" ref="H3:H8" si="4">F3/G3</f>
        <v>0.5978</v>
      </c>
      <c r="I3" s="6">
        <f t="shared" ref="I3:I8" si="5">-(H3-B3)/B3</f>
        <v>0</v>
      </c>
    </row>
    <row r="4" spans="1:13">
      <c r="A4" s="1" t="s">
        <v>6</v>
      </c>
      <c r="B4" s="2">
        <v>0.58940000000000003</v>
      </c>
      <c r="C4" s="2">
        <v>10</v>
      </c>
      <c r="D4" s="2">
        <f t="shared" si="0"/>
        <v>10</v>
      </c>
      <c r="E4" s="2">
        <f t="shared" si="1"/>
        <v>16.9664065151001</v>
      </c>
      <c r="F4" s="2">
        <f t="shared" si="2"/>
        <v>20</v>
      </c>
      <c r="G4" s="2">
        <f t="shared" si="3"/>
        <v>33.694409191580533</v>
      </c>
      <c r="H4" s="2">
        <f t="shared" si="4"/>
        <v>0.59357028301886783</v>
      </c>
      <c r="I4" s="6">
        <f t="shared" si="5"/>
        <v>-7.0754716981129839E-3</v>
      </c>
    </row>
    <row r="5" spans="1:13">
      <c r="A5" s="1" t="s">
        <v>7</v>
      </c>
      <c r="B5" s="2">
        <v>0.58479999999999999</v>
      </c>
      <c r="C5" s="2">
        <v>10</v>
      </c>
      <c r="D5" s="2">
        <f t="shared" si="0"/>
        <v>10</v>
      </c>
      <c r="E5" s="2">
        <f t="shared" si="1"/>
        <v>17.09986320109439</v>
      </c>
      <c r="F5" s="2">
        <f t="shared" si="2"/>
        <v>30</v>
      </c>
      <c r="G5" s="2">
        <f t="shared" si="3"/>
        <v>50.794272392674927</v>
      </c>
      <c r="H5" s="2">
        <f t="shared" si="4"/>
        <v>0.5906177721787057</v>
      </c>
      <c r="I5" s="6">
        <f t="shared" si="5"/>
        <v>-9.9483108391000621E-3</v>
      </c>
    </row>
    <row r="6" spans="1:13">
      <c r="A6" s="1" t="s">
        <v>8</v>
      </c>
      <c r="B6" s="2">
        <v>0.60899999999999999</v>
      </c>
      <c r="C6" s="2">
        <v>10</v>
      </c>
      <c r="D6" s="2">
        <f t="shared" si="0"/>
        <v>10</v>
      </c>
      <c r="E6" s="2">
        <f t="shared" si="1"/>
        <v>16.420361247947454</v>
      </c>
      <c r="F6" s="2">
        <f t="shared" si="2"/>
        <v>40</v>
      </c>
      <c r="G6" s="2">
        <f t="shared" si="3"/>
        <v>67.214633640622381</v>
      </c>
      <c r="H6" s="2">
        <f t="shared" si="4"/>
        <v>0.59510850291721706</v>
      </c>
      <c r="I6" s="6">
        <f t="shared" si="5"/>
        <v>2.2810340037410382E-2</v>
      </c>
    </row>
    <row r="7" spans="1:13">
      <c r="A7" s="1" t="s">
        <v>9</v>
      </c>
      <c r="B7" s="2">
        <v>0.59730000000000005</v>
      </c>
      <c r="C7" s="2">
        <v>30</v>
      </c>
      <c r="D7" s="2">
        <f t="shared" si="0"/>
        <v>30</v>
      </c>
      <c r="E7" s="2">
        <f t="shared" si="1"/>
        <v>50.2260170768458</v>
      </c>
      <c r="F7" s="2">
        <f t="shared" si="2"/>
        <v>70</v>
      </c>
      <c r="G7" s="2">
        <f t="shared" si="3"/>
        <v>117.44065071746817</v>
      </c>
      <c r="H7" s="2">
        <f t="shared" si="4"/>
        <v>0.59604574372124264</v>
      </c>
      <c r="I7" s="6">
        <f t="shared" si="5"/>
        <v>2.0998765758537003E-3</v>
      </c>
    </row>
    <row r="8" spans="1:13">
      <c r="A8" s="1" t="s">
        <v>10</v>
      </c>
      <c r="B8" s="2">
        <v>0.59419999999999995</v>
      </c>
      <c r="C8" s="2">
        <v>10</v>
      </c>
      <c r="D8" s="2">
        <f t="shared" si="0"/>
        <v>10</v>
      </c>
      <c r="E8" s="2">
        <f t="shared" si="1"/>
        <v>16.82935038707506</v>
      </c>
      <c r="F8" s="2">
        <f t="shared" si="2"/>
        <v>80</v>
      </c>
      <c r="G8" s="2">
        <f t="shared" si="3"/>
        <v>134.27000110454324</v>
      </c>
      <c r="H8" s="2">
        <f t="shared" si="4"/>
        <v>0.59581439891187338</v>
      </c>
      <c r="I8" s="6">
        <f t="shared" si="5"/>
        <v>-2.7169284952430614E-3</v>
      </c>
    </row>
    <row r="9" spans="1:13">
      <c r="A9" s="1" t="s">
        <v>18</v>
      </c>
      <c r="B9" s="2">
        <v>0.6069</v>
      </c>
      <c r="C9" s="2">
        <v>10</v>
      </c>
      <c r="D9" s="2">
        <f t="shared" si="0"/>
        <v>10</v>
      </c>
      <c r="E9" s="2">
        <f t="shared" ref="E9" si="6">D9/B9</f>
        <v>16.477179106936891</v>
      </c>
      <c r="F9" s="2">
        <f t="shared" ref="F9" si="7">C9+F8</f>
        <v>90</v>
      </c>
      <c r="G9" s="2">
        <f t="shared" ref="G9" si="8">G8+E9</f>
        <v>150.74718021148013</v>
      </c>
      <c r="H9" s="2">
        <f t="shared" ref="H9" si="9">F9/G9</f>
        <v>0.59702609278489216</v>
      </c>
      <c r="I9" s="6">
        <f t="shared" ref="I9" si="10">-(H9-B9)/B9</f>
        <v>1.6269413766860828E-2</v>
      </c>
    </row>
    <row r="10" spans="1:13">
      <c r="A10" s="1" t="s">
        <v>35</v>
      </c>
      <c r="B10" s="2">
        <v>0.6089</v>
      </c>
      <c r="C10" s="2">
        <v>10</v>
      </c>
      <c r="D10" s="2">
        <f t="shared" ref="D10:D12" si="11">C10</f>
        <v>10</v>
      </c>
      <c r="E10" s="2">
        <f t="shared" ref="E10" si="12">D10/B10</f>
        <v>16.423057973394645</v>
      </c>
      <c r="F10" s="2">
        <f t="shared" ref="F10" si="13">C10+F9</f>
        <v>100</v>
      </c>
      <c r="G10" s="2">
        <f t="shared" ref="G10" si="14">G9+E10</f>
        <v>167.17023818487476</v>
      </c>
      <c r="H10" s="2">
        <f t="shared" ref="H10" si="15">F10/G10</f>
        <v>0.59819260345498393</v>
      </c>
      <c r="I10" s="6">
        <f t="shared" ref="I10" si="16">-(H10-B10)/B10</f>
        <v>1.7584819420292441E-2</v>
      </c>
      <c r="K10" s="4" t="s">
        <v>31</v>
      </c>
      <c r="L10" s="4" t="s">
        <v>30</v>
      </c>
      <c r="M10" s="5"/>
    </row>
    <row r="11" spans="1:13">
      <c r="A11" s="1" t="s">
        <v>37</v>
      </c>
      <c r="B11" s="2">
        <v>0.58789999999999998</v>
      </c>
      <c r="C11" s="2">
        <v>80</v>
      </c>
      <c r="D11" s="2">
        <f t="shared" si="11"/>
        <v>80</v>
      </c>
      <c r="E11" s="2">
        <f t="shared" ref="E11:E12" si="17">D11/B11</f>
        <v>136.07756421160062</v>
      </c>
      <c r="F11" s="2">
        <f t="shared" ref="F11" si="18">C11+F10</f>
        <v>180</v>
      </c>
      <c r="G11" s="2">
        <f t="shared" ref="G11" si="19">G10+E11</f>
        <v>303.24780239647538</v>
      </c>
      <c r="H11" s="2">
        <f t="shared" ref="H11" si="20">F11/G11</f>
        <v>0.59357396352921477</v>
      </c>
      <c r="I11" s="6">
        <f t="shared" ref="I11" si="21">-(H11-B11)/B11</f>
        <v>-9.6512392060125653E-3</v>
      </c>
      <c r="K11" s="7">
        <v>0</v>
      </c>
      <c r="L11" s="8">
        <f>NumOfACol($B:$B)-1</f>
        <v>11</v>
      </c>
      <c r="M11" s="9"/>
    </row>
    <row r="12" spans="1:13">
      <c r="A12" s="1" t="s">
        <v>38</v>
      </c>
      <c r="B12" s="2">
        <v>0.58440000000000003</v>
      </c>
      <c r="C12" s="2">
        <v>10</v>
      </c>
      <c r="D12" s="2">
        <f t="shared" si="11"/>
        <v>10</v>
      </c>
      <c r="E12" s="2">
        <f t="shared" si="17"/>
        <v>17.111567419575632</v>
      </c>
      <c r="F12" s="2">
        <f t="shared" ref="F12" si="22">C12+F11</f>
        <v>190</v>
      </c>
      <c r="G12" s="2">
        <f t="shared" ref="G12" si="23">G11+E12</f>
        <v>320.35936981605101</v>
      </c>
      <c r="H12" s="2">
        <f t="shared" ref="H12" si="24">F12/G12</f>
        <v>0.59308394853285296</v>
      </c>
      <c r="I12" s="6">
        <f t="shared" ref="I12" si="25">-(H12-B12)/B12</f>
        <v>-1.4859597078803773E-2</v>
      </c>
      <c r="K12" s="4" t="s">
        <v>36</v>
      </c>
      <c r="L12" s="8" t="s">
        <v>33</v>
      </c>
      <c r="M12" s="8" t="s">
        <v>34</v>
      </c>
    </row>
    <row r="13" spans="1:13">
      <c r="K13" s="10">
        <f ca="1">K15/M13-1</f>
        <v>1.4859597078803688E-2</v>
      </c>
      <c r="L13" s="10">
        <f ca="1">M15/K15-1</f>
        <v>-1.4642022523683074E-2</v>
      </c>
      <c r="M13" s="11">
        <f ca="1">OFFSET($B$1,L11,0)</f>
        <v>0.58440000000000003</v>
      </c>
    </row>
    <row r="14" spans="1:13">
      <c r="K14" s="8" t="s">
        <v>28</v>
      </c>
      <c r="L14" s="8" t="s">
        <v>29</v>
      </c>
      <c r="M14" s="8" t="s">
        <v>26</v>
      </c>
    </row>
    <row r="15" spans="1:13">
      <c r="K15" s="12">
        <f ca="1">OFFSET($H$1,L11,0)</f>
        <v>0.59308394853285296</v>
      </c>
      <c r="L15" s="12">
        <f ca="1">OFFSET($F$1,L11,0)</f>
        <v>190</v>
      </c>
      <c r="M15" s="12">
        <f ca="1">M13*(1+K11)</f>
        <v>0.58440000000000003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2"/>
  <sheetViews>
    <sheetView zoomScale="85" zoomScaleNormal="85" workbookViewId="0">
      <selection activeCell="G17" sqref="G17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1.1043000000000001</v>
      </c>
      <c r="C2" s="2">
        <v>0</v>
      </c>
      <c r="D2" s="2">
        <f>C2*0.999</f>
        <v>0</v>
      </c>
      <c r="E2" s="2">
        <f>D2/B2</f>
        <v>0</v>
      </c>
      <c r="F2" s="2">
        <f>C2+0</f>
        <v>0</v>
      </c>
      <c r="G2" s="2">
        <f>E2</f>
        <v>0</v>
      </c>
      <c r="H2" s="2">
        <v>0</v>
      </c>
      <c r="I2" s="2">
        <v>0</v>
      </c>
    </row>
    <row r="3" spans="1:13">
      <c r="A3" s="1" t="s">
        <v>5</v>
      </c>
      <c r="B3" s="2">
        <v>1.1145</v>
      </c>
      <c r="C3" s="2">
        <v>10</v>
      </c>
      <c r="D3" s="2">
        <f t="shared" ref="D3:D8" si="0">C3*0.999</f>
        <v>9.99</v>
      </c>
      <c r="E3" s="2">
        <f t="shared" ref="E3:E8" si="1">D3/B3</f>
        <v>8.9636608344549131</v>
      </c>
      <c r="F3" s="2">
        <f>C3+F2</f>
        <v>10</v>
      </c>
      <c r="G3" s="2">
        <f>G2+E3</f>
        <v>8.9636608344549131</v>
      </c>
      <c r="H3" s="2">
        <f>F3/G3</f>
        <v>1.1156156156156156</v>
      </c>
      <c r="I3" s="6">
        <f t="shared" ref="I3:I8" si="2">-(H3-B3)/B3</f>
        <v>-1.0010010010009626E-3</v>
      </c>
      <c r="K3" s="4" t="s">
        <v>31</v>
      </c>
      <c r="L3" s="4" t="s">
        <v>30</v>
      </c>
      <c r="M3" s="5"/>
    </row>
    <row r="4" spans="1:13">
      <c r="A4" s="1" t="s">
        <v>6</v>
      </c>
      <c r="B4" s="2">
        <v>1.0996999999999999</v>
      </c>
      <c r="C4" s="2">
        <v>0</v>
      </c>
      <c r="D4" s="2">
        <f t="shared" si="0"/>
        <v>0</v>
      </c>
      <c r="E4" s="2">
        <f t="shared" si="1"/>
        <v>0</v>
      </c>
      <c r="F4" s="2">
        <f t="shared" ref="F4:F8" si="3">C4+F3</f>
        <v>10</v>
      </c>
      <c r="G4" s="2">
        <f t="shared" ref="G4:G8" si="4">G3+E4</f>
        <v>8.9636608344549131</v>
      </c>
      <c r="H4" s="2">
        <f t="shared" ref="H4:H8" si="5">F4/G4</f>
        <v>1.1156156156156156</v>
      </c>
      <c r="I4" s="6">
        <f t="shared" si="2"/>
        <v>-1.4472688565623098E-2</v>
      </c>
      <c r="K4" s="7">
        <v>0</v>
      </c>
      <c r="L4" s="8">
        <f>NumOfACol($B:$B)-1</f>
        <v>11</v>
      </c>
      <c r="M4" s="9"/>
    </row>
    <row r="5" spans="1:13">
      <c r="A5" s="1" t="s">
        <v>7</v>
      </c>
      <c r="B5" s="2">
        <v>1.0806</v>
      </c>
      <c r="C5" s="2">
        <v>10</v>
      </c>
      <c r="D5" s="2">
        <f t="shared" si="0"/>
        <v>9.99</v>
      </c>
      <c r="E5" s="2">
        <f t="shared" si="1"/>
        <v>9.2448639644641872</v>
      </c>
      <c r="F5" s="2">
        <f t="shared" si="3"/>
        <v>20</v>
      </c>
      <c r="G5" s="2">
        <f t="shared" si="4"/>
        <v>18.2085247989191</v>
      </c>
      <c r="H5" s="2">
        <f t="shared" si="5"/>
        <v>1.0983866195018306</v>
      </c>
      <c r="I5" s="6">
        <f t="shared" si="2"/>
        <v>-1.6459947715926876E-2</v>
      </c>
      <c r="K5" s="4" t="s">
        <v>32</v>
      </c>
      <c r="L5" s="8" t="s">
        <v>33</v>
      </c>
      <c r="M5" s="8" t="s">
        <v>34</v>
      </c>
    </row>
    <row r="6" spans="1:13">
      <c r="A6" s="1" t="s">
        <v>8</v>
      </c>
      <c r="B6" s="2">
        <v>1.1174999999999999</v>
      </c>
      <c r="C6" s="2">
        <v>0</v>
      </c>
      <c r="D6" s="2">
        <f t="shared" si="0"/>
        <v>0</v>
      </c>
      <c r="E6" s="2">
        <f t="shared" si="1"/>
        <v>0</v>
      </c>
      <c r="F6" s="2">
        <f t="shared" si="3"/>
        <v>20</v>
      </c>
      <c r="G6" s="2">
        <f t="shared" si="4"/>
        <v>18.2085247989191</v>
      </c>
      <c r="H6" s="2">
        <f t="shared" si="5"/>
        <v>1.0983866195018306</v>
      </c>
      <c r="I6" s="6">
        <f t="shared" si="2"/>
        <v>1.7103696195229848E-2</v>
      </c>
      <c r="K6" s="10">
        <f ca="1">K8/M6-1</f>
        <v>1.2673753732628912E-2</v>
      </c>
      <c r="L6" s="10">
        <f ca="1">M8/K8-1</f>
        <v>-1.2515139931211339E-2</v>
      </c>
      <c r="M6" s="11">
        <f ca="1">OFFSET($B$1,L4,0)</f>
        <v>1.0857000000000001</v>
      </c>
    </row>
    <row r="7" spans="1:13">
      <c r="A7" s="1" t="s">
        <v>9</v>
      </c>
      <c r="B7" s="2">
        <v>1.1001000000000001</v>
      </c>
      <c r="C7" s="2">
        <v>0</v>
      </c>
      <c r="D7" s="2">
        <f t="shared" si="0"/>
        <v>0</v>
      </c>
      <c r="E7" s="2">
        <f t="shared" si="1"/>
        <v>0</v>
      </c>
      <c r="F7" s="2">
        <f t="shared" si="3"/>
        <v>20</v>
      </c>
      <c r="G7" s="2">
        <f t="shared" si="4"/>
        <v>18.2085247989191</v>
      </c>
      <c r="H7" s="2">
        <f t="shared" si="5"/>
        <v>1.0983866195018306</v>
      </c>
      <c r="I7" s="6">
        <f t="shared" si="2"/>
        <v>1.5574770458771858E-3</v>
      </c>
      <c r="K7" s="8" t="s">
        <v>28</v>
      </c>
      <c r="L7" s="8" t="s">
        <v>29</v>
      </c>
      <c r="M7" s="8" t="s">
        <v>26</v>
      </c>
    </row>
    <row r="8" spans="1:13">
      <c r="A8" s="1" t="s">
        <v>10</v>
      </c>
      <c r="B8" s="2">
        <v>1.0935999999999999</v>
      </c>
      <c r="C8" s="2">
        <v>50</v>
      </c>
      <c r="D8" s="2">
        <f t="shared" si="0"/>
        <v>49.95</v>
      </c>
      <c r="E8" s="2">
        <f t="shared" si="1"/>
        <v>45.674835405998543</v>
      </c>
      <c r="F8" s="2">
        <f t="shared" si="3"/>
        <v>70</v>
      </c>
      <c r="G8" s="2">
        <f t="shared" si="4"/>
        <v>63.883360204917643</v>
      </c>
      <c r="H8" s="2">
        <f t="shared" si="5"/>
        <v>1.0957469953906949</v>
      </c>
      <c r="I8" s="6">
        <f t="shared" si="2"/>
        <v>-1.9632364582068047E-3</v>
      </c>
      <c r="K8" s="12">
        <f ca="1">OFFSET($H$1,L4,0)</f>
        <v>1.0994598944275153</v>
      </c>
      <c r="L8" s="12">
        <f ca="1">OFFSET($F$1,L4,0)</f>
        <v>120</v>
      </c>
      <c r="M8" s="12">
        <f ca="1">M6*(1+K4)</f>
        <v>1.0857000000000001</v>
      </c>
    </row>
    <row r="9" spans="1:13">
      <c r="A9" s="1" t="s">
        <v>18</v>
      </c>
      <c r="B9" s="2">
        <v>1.117</v>
      </c>
      <c r="C9" s="2">
        <v>10</v>
      </c>
      <c r="D9" s="2">
        <f t="shared" ref="D9:D12" si="6">C9*0.999</f>
        <v>9.99</v>
      </c>
      <c r="E9" s="2">
        <f t="shared" ref="E9:E12" si="7">D9/B9</f>
        <v>8.9435989256938235</v>
      </c>
      <c r="F9" s="2">
        <f t="shared" ref="F9" si="8">C9+F8</f>
        <v>80</v>
      </c>
      <c r="G9" s="2">
        <f t="shared" ref="G9" si="9">G8+E9</f>
        <v>72.826959130611471</v>
      </c>
      <c r="H9" s="2">
        <f t="shared" ref="H9" si="10">F9/G9</f>
        <v>1.098494306984918</v>
      </c>
      <c r="I9" s="6">
        <f t="shared" ref="I9" si="11">-(H9-B9)/B9</f>
        <v>1.6567316933824513E-2</v>
      </c>
    </row>
    <row r="10" spans="1:13">
      <c r="A10" s="1" t="s">
        <v>35</v>
      </c>
      <c r="B10" s="2">
        <v>1.1275999999999999</v>
      </c>
      <c r="C10" s="2">
        <v>10</v>
      </c>
      <c r="D10" s="2">
        <f t="shared" si="6"/>
        <v>9.99</v>
      </c>
      <c r="E10" s="2">
        <f t="shared" si="7"/>
        <v>8.859524654132672</v>
      </c>
      <c r="F10" s="2">
        <f t="shared" ref="F10" si="12">C10+F9</f>
        <v>90</v>
      </c>
      <c r="G10" s="2">
        <f t="shared" ref="G10" si="13">G9+E10</f>
        <v>81.686483784744141</v>
      </c>
      <c r="H10" s="2">
        <f t="shared" ref="H10" si="14">F10/G10</f>
        <v>1.1017734615332837</v>
      </c>
      <c r="I10" s="6">
        <f t="shared" ref="I10" si="15">-(H10-B10)/B10</f>
        <v>2.2903989417094921E-2</v>
      </c>
    </row>
    <row r="11" spans="1:13">
      <c r="A11" s="1" t="s">
        <v>37</v>
      </c>
      <c r="B11" s="2">
        <v>1.0944</v>
      </c>
      <c r="C11" s="2">
        <v>20</v>
      </c>
      <c r="D11" s="2">
        <f t="shared" si="6"/>
        <v>19.98</v>
      </c>
      <c r="E11" s="2">
        <f t="shared" si="7"/>
        <v>18.256578947368421</v>
      </c>
      <c r="F11" s="2">
        <f t="shared" ref="F11" si="16">C11+F10</f>
        <v>110</v>
      </c>
      <c r="G11" s="2">
        <f t="shared" ref="G11" si="17">G10+E11</f>
        <v>99.943062732112566</v>
      </c>
      <c r="H11" s="2">
        <f t="shared" ref="H11" si="18">F11/G11</f>
        <v>1.1006266667536901</v>
      </c>
      <c r="I11" s="6">
        <f t="shared" ref="I11" si="19">-(H11-B11)/B11</f>
        <v>-5.6895712296144941E-3</v>
      </c>
    </row>
    <row r="12" spans="1:13">
      <c r="A12" s="1" t="s">
        <v>38</v>
      </c>
      <c r="B12" s="2">
        <v>1.0857000000000001</v>
      </c>
      <c r="C12" s="2">
        <v>10</v>
      </c>
      <c r="D12" s="2">
        <f t="shared" si="6"/>
        <v>9.99</v>
      </c>
      <c r="E12" s="2">
        <f t="shared" si="7"/>
        <v>9.2014368610113291</v>
      </c>
      <c r="F12" s="2">
        <f t="shared" ref="F12" si="20">C12+F11</f>
        <v>120</v>
      </c>
      <c r="G12" s="2">
        <f t="shared" ref="G12" si="21">G11+E12</f>
        <v>109.1444995931239</v>
      </c>
      <c r="H12" s="2">
        <f t="shared" ref="H12" si="22">F12/G12</f>
        <v>1.0994598944275153</v>
      </c>
      <c r="I12" s="6">
        <f t="shared" ref="I12" si="23">-(H12-B12)/B12</f>
        <v>-1.267375373262894E-2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8"/>
  <sheetViews>
    <sheetView zoomScale="85" zoomScaleNormal="85" workbookViewId="0">
      <selection activeCell="K4" sqref="K4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664062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4.21875" style="2" customWidth="1"/>
    <col min="12" max="12" width="1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16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18</v>
      </c>
      <c r="B2" s="2">
        <v>0.86229999999999996</v>
      </c>
      <c r="C2" s="2">
        <v>0</v>
      </c>
      <c r="D2" s="2">
        <f>C2*0.999</f>
        <v>0</v>
      </c>
      <c r="E2" s="2">
        <f>D2/B2</f>
        <v>0</v>
      </c>
      <c r="F2" s="2">
        <f>C2+0</f>
        <v>0</v>
      </c>
      <c r="G2" s="2">
        <f>E2</f>
        <v>0</v>
      </c>
      <c r="H2" s="2">
        <v>0</v>
      </c>
      <c r="I2" s="2">
        <v>0</v>
      </c>
    </row>
    <row r="3" spans="1:13">
      <c r="A3" s="1" t="s">
        <v>35</v>
      </c>
      <c r="B3" s="2">
        <v>0.86750000000000005</v>
      </c>
      <c r="C3" s="2">
        <v>90</v>
      </c>
      <c r="D3" s="2">
        <f t="shared" ref="D3" si="0">C3*0.999</f>
        <v>89.91</v>
      </c>
      <c r="E3" s="2">
        <f t="shared" ref="E3" si="1">D3/B3</f>
        <v>103.64265129682997</v>
      </c>
      <c r="F3" s="2">
        <f>C3+F2</f>
        <v>90</v>
      </c>
      <c r="G3" s="2">
        <f>G2+E3</f>
        <v>103.64265129682997</v>
      </c>
      <c r="H3" s="2">
        <f>F3/G3</f>
        <v>0.86836836836836839</v>
      </c>
      <c r="I3" s="6">
        <f t="shared" ref="I3" si="2">-(H3-B3)/B3</f>
        <v>-1.001001001000973E-3</v>
      </c>
      <c r="K3" s="4" t="s">
        <v>31</v>
      </c>
      <c r="L3" s="4" t="s">
        <v>30</v>
      </c>
      <c r="M3" s="5"/>
    </row>
    <row r="4" spans="1:13">
      <c r="A4" s="1" t="s">
        <v>37</v>
      </c>
      <c r="B4" s="2">
        <v>0.84089999999999998</v>
      </c>
      <c r="C4" s="2">
        <v>100</v>
      </c>
      <c r="D4" s="2">
        <f t="shared" ref="D4" si="3">C4*0.999</f>
        <v>99.9</v>
      </c>
      <c r="E4" s="2">
        <f t="shared" ref="E4" si="4">D4/B4</f>
        <v>118.80128433820907</v>
      </c>
      <c r="F4" s="2">
        <f>C4+F3</f>
        <v>190</v>
      </c>
      <c r="G4" s="2">
        <f>G3+E4</f>
        <v>222.44393563503905</v>
      </c>
      <c r="H4" s="2">
        <f>F4/G4</f>
        <v>0.85414780788508704</v>
      </c>
      <c r="I4" s="6">
        <f t="shared" ref="I4" si="5">-(H4-B4)/B4</f>
        <v>-1.5754320234376333E-2</v>
      </c>
      <c r="K4" s="7">
        <v>0</v>
      </c>
      <c r="L4" s="8">
        <f>NumOfACol($B:$B)-1</f>
        <v>4</v>
      </c>
      <c r="M4" s="9"/>
    </row>
    <row r="5" spans="1:13">
      <c r="A5" s="1" t="s">
        <v>38</v>
      </c>
      <c r="B5" s="2">
        <v>0.83809999999999996</v>
      </c>
      <c r="C5" s="2">
        <v>10</v>
      </c>
      <c r="D5" s="2">
        <f t="shared" ref="D5" si="6">C5*0.999</f>
        <v>9.99</v>
      </c>
      <c r="E5" s="2">
        <f t="shared" ref="E5" si="7">D5/B5</f>
        <v>11.919818637394107</v>
      </c>
      <c r="F5" s="2">
        <f>C5+F4</f>
        <v>200</v>
      </c>
      <c r="G5" s="2">
        <f>G4+E5</f>
        <v>234.36375427243317</v>
      </c>
      <c r="H5" s="2">
        <f>F5/G5</f>
        <v>0.85337427974256008</v>
      </c>
      <c r="I5" s="6">
        <f t="shared" ref="I5" si="8">-(H5-B5)/B5</f>
        <v>-1.8224889324138082E-2</v>
      </c>
      <c r="K5" s="4" t="s">
        <v>32</v>
      </c>
      <c r="L5" s="8" t="s">
        <v>33</v>
      </c>
      <c r="M5" s="8" t="s">
        <v>34</v>
      </c>
    </row>
    <row r="6" spans="1:13">
      <c r="I6" s="6"/>
      <c r="K6" s="10">
        <f ca="1">K8/M6-1</f>
        <v>1.8224889324138127E-2</v>
      </c>
      <c r="L6" s="10">
        <f ca="1">M8/K8-1</f>
        <v>-1.7898687721368822E-2</v>
      </c>
      <c r="M6" s="11">
        <f ca="1">OFFSET($B$1,L4,0)</f>
        <v>0.83809999999999996</v>
      </c>
    </row>
    <row r="7" spans="1:13">
      <c r="I7" s="6"/>
      <c r="K7" s="8" t="s">
        <v>28</v>
      </c>
      <c r="L7" s="8" t="s">
        <v>29</v>
      </c>
      <c r="M7" s="8" t="s">
        <v>26</v>
      </c>
    </row>
    <row r="8" spans="1:13">
      <c r="I8" s="6"/>
      <c r="K8" s="12">
        <f ca="1">OFFSET($H$1,L4,0)</f>
        <v>0.85337427974256008</v>
      </c>
      <c r="L8" s="12">
        <f ca="1">OFFSET($F$1,L4,0)</f>
        <v>200</v>
      </c>
      <c r="M8" s="12">
        <f ca="1">M6*(1+K4)</f>
        <v>0.83809999999999996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2"/>
  <sheetViews>
    <sheetView zoomScale="85" zoomScaleNormal="85" workbookViewId="0">
      <selection activeCell="K25" sqref="K25"/>
    </sheetView>
  </sheetViews>
  <sheetFormatPr defaultColWidth="9" defaultRowHeight="15.75"/>
  <cols>
    <col min="1" max="1" width="12.44140625" style="1" customWidth="1"/>
    <col min="2" max="2" width="9" style="2"/>
    <col min="3" max="3" width="5.88671875" style="2" customWidth="1"/>
    <col min="4" max="4" width="6.88671875" style="2" customWidth="1"/>
    <col min="5" max="5" width="9" style="2"/>
    <col min="6" max="6" width="8.88671875" style="2" customWidth="1"/>
    <col min="7" max="7" width="9.21875" style="2" customWidth="1"/>
    <col min="8" max="8" width="9" style="2"/>
    <col min="9" max="9" width="9.88671875" style="2" customWidth="1"/>
    <col min="10" max="10" width="9.33203125" style="3" customWidth="1"/>
    <col min="11" max="11" width="15.33203125" style="2" customWidth="1"/>
    <col min="12" max="12" width="12.21875" style="2" customWidth="1"/>
    <col min="13" max="13" width="12.77734375" style="2" customWidth="1"/>
    <col min="14" max="16384" width="9" style="2"/>
  </cols>
  <sheetData>
    <row r="1" spans="1:13">
      <c r="A1" s="1" t="s">
        <v>0</v>
      </c>
      <c r="B1" s="2" t="s">
        <v>1</v>
      </c>
      <c r="C1" s="2" t="s">
        <v>2</v>
      </c>
      <c r="D1" s="2" t="s">
        <v>17</v>
      </c>
      <c r="E1" s="2" t="s">
        <v>3</v>
      </c>
      <c r="F1" s="2" t="s">
        <v>11</v>
      </c>
      <c r="G1" s="2" t="s">
        <v>12</v>
      </c>
      <c r="H1" s="2" t="s">
        <v>13</v>
      </c>
      <c r="I1" s="2" t="s">
        <v>14</v>
      </c>
      <c r="J1" s="2"/>
    </row>
    <row r="2" spans="1:13">
      <c r="A2" s="1" t="s">
        <v>4</v>
      </c>
      <c r="B2" s="2">
        <v>0.59440000000000004</v>
      </c>
      <c r="C2" s="2">
        <v>10</v>
      </c>
      <c r="D2" s="2">
        <f>C2*1</f>
        <v>10</v>
      </c>
      <c r="E2" s="2">
        <f>D2/B2</f>
        <v>16.823687752355315</v>
      </c>
      <c r="F2" s="2">
        <f>C2+0</f>
        <v>10</v>
      </c>
      <c r="G2" s="2">
        <f>E2</f>
        <v>16.823687752355315</v>
      </c>
      <c r="H2" s="2">
        <f>F2/G2</f>
        <v>0.59440000000000004</v>
      </c>
      <c r="I2" s="6">
        <f t="shared" ref="I2:I7" si="0">-(H2-B2)/B2</f>
        <v>0</v>
      </c>
    </row>
    <row r="3" spans="1:13">
      <c r="A3" s="1" t="s">
        <v>5</v>
      </c>
      <c r="B3" s="2">
        <v>0.5978</v>
      </c>
      <c r="C3" s="2">
        <v>10</v>
      </c>
      <c r="D3" s="2">
        <f t="shared" ref="D3:D8" si="1">C3*1</f>
        <v>10</v>
      </c>
      <c r="E3" s="2">
        <f t="shared" ref="E3:E8" si="2">D3/B3</f>
        <v>16.728002676480429</v>
      </c>
      <c r="F3" s="2">
        <f>C3+F2</f>
        <v>20</v>
      </c>
      <c r="G3" s="2">
        <f>G2+E3</f>
        <v>33.551690428835741</v>
      </c>
      <c r="H3" s="2">
        <f>F3/G3</f>
        <v>0.59609515182016448</v>
      </c>
      <c r="I3" s="6">
        <f t="shared" si="0"/>
        <v>2.8518704915281305E-3</v>
      </c>
    </row>
    <row r="4" spans="1:13">
      <c r="A4" s="1" t="s">
        <v>6</v>
      </c>
      <c r="B4" s="2">
        <v>0.58940000000000003</v>
      </c>
      <c r="C4" s="2">
        <v>10</v>
      </c>
      <c r="D4" s="2">
        <f t="shared" si="1"/>
        <v>10</v>
      </c>
      <c r="E4" s="2">
        <f t="shared" si="2"/>
        <v>16.9664065151001</v>
      </c>
      <c r="F4" s="2">
        <f t="shared" ref="F4:F8" si="3">C4+F3</f>
        <v>30</v>
      </c>
      <c r="G4" s="2">
        <f t="shared" ref="G4:G8" si="4">G3+E4</f>
        <v>50.518096943935845</v>
      </c>
      <c r="H4" s="2">
        <f t="shared" ref="H4:H8" si="5">F4/G4</f>
        <v>0.59384659784974692</v>
      </c>
      <c r="I4" s="6">
        <f t="shared" si="0"/>
        <v>-7.544278672797557E-3</v>
      </c>
      <c r="K4" s="4" t="s">
        <v>31</v>
      </c>
      <c r="L4" s="4" t="s">
        <v>30</v>
      </c>
      <c r="M4" s="5"/>
    </row>
    <row r="5" spans="1:13">
      <c r="A5" s="1" t="s">
        <v>7</v>
      </c>
      <c r="B5" s="2">
        <v>0.58479999999999999</v>
      </c>
      <c r="C5" s="2">
        <v>10</v>
      </c>
      <c r="D5" s="2">
        <f t="shared" si="1"/>
        <v>10</v>
      </c>
      <c r="E5" s="2">
        <f t="shared" si="2"/>
        <v>17.09986320109439</v>
      </c>
      <c r="F5" s="2">
        <f t="shared" si="3"/>
        <v>40</v>
      </c>
      <c r="G5" s="2">
        <f t="shared" si="4"/>
        <v>67.617960145030239</v>
      </c>
      <c r="H5" s="2">
        <f t="shared" si="5"/>
        <v>0.59155880943770089</v>
      </c>
      <c r="I5" s="6">
        <f t="shared" si="0"/>
        <v>-1.1557471678695122E-2</v>
      </c>
      <c r="K5" s="7">
        <v>0</v>
      </c>
      <c r="L5" s="8">
        <f>NumOfACol($B:$B)-1</f>
        <v>11</v>
      </c>
      <c r="M5" s="9"/>
    </row>
    <row r="6" spans="1:13">
      <c r="A6" s="1" t="s">
        <v>8</v>
      </c>
      <c r="B6" s="2">
        <v>0.60899999999999999</v>
      </c>
      <c r="C6" s="2">
        <v>10</v>
      </c>
      <c r="D6" s="2">
        <f t="shared" si="1"/>
        <v>10</v>
      </c>
      <c r="E6" s="2">
        <f t="shared" si="2"/>
        <v>16.420361247947454</v>
      </c>
      <c r="F6" s="2">
        <f t="shared" si="3"/>
        <v>50</v>
      </c>
      <c r="G6" s="2">
        <f t="shared" si="4"/>
        <v>84.038321392977693</v>
      </c>
      <c r="H6" s="2">
        <f t="shared" si="5"/>
        <v>0.594966667244475</v>
      </c>
      <c r="I6" s="6">
        <f t="shared" si="0"/>
        <v>2.3043239335837414E-2</v>
      </c>
      <c r="K6" s="4" t="s">
        <v>32</v>
      </c>
      <c r="L6" s="8" t="s">
        <v>33</v>
      </c>
      <c r="M6" s="8" t="s">
        <v>34</v>
      </c>
    </row>
    <row r="7" spans="1:13">
      <c r="A7" s="1" t="s">
        <v>9</v>
      </c>
      <c r="B7" s="2">
        <v>0.59730000000000005</v>
      </c>
      <c r="C7" s="2">
        <v>20</v>
      </c>
      <c r="D7" s="2">
        <f t="shared" si="1"/>
        <v>20</v>
      </c>
      <c r="E7" s="2">
        <f t="shared" si="2"/>
        <v>33.484011384563871</v>
      </c>
      <c r="F7" s="2">
        <f t="shared" si="3"/>
        <v>70</v>
      </c>
      <c r="G7" s="2">
        <f t="shared" si="4"/>
        <v>117.52233277754156</v>
      </c>
      <c r="H7" s="2">
        <f t="shared" si="5"/>
        <v>0.59563147144554429</v>
      </c>
      <c r="I7" s="6">
        <f t="shared" si="0"/>
        <v>2.7934514556433305E-3</v>
      </c>
      <c r="K7" s="10">
        <f ca="1">K9/M7-1</f>
        <v>1.3956207523397657E-2</v>
      </c>
      <c r="L7" s="10">
        <f ca="1">M9/K9-1</f>
        <v>-1.3764112710040854E-2</v>
      </c>
      <c r="M7" s="11">
        <f ca="1">OFFSET($B$1,L5,0)</f>
        <v>0.58440000000000003</v>
      </c>
    </row>
    <row r="8" spans="1:13">
      <c r="A8" s="1" t="s">
        <v>10</v>
      </c>
      <c r="B8" s="2">
        <v>0.59419999999999995</v>
      </c>
      <c r="C8" s="2">
        <v>10</v>
      </c>
      <c r="D8" s="2">
        <f t="shared" si="1"/>
        <v>10</v>
      </c>
      <c r="E8" s="2">
        <f t="shared" si="2"/>
        <v>16.82935038707506</v>
      </c>
      <c r="F8" s="2">
        <f t="shared" si="3"/>
        <v>80</v>
      </c>
      <c r="G8" s="2">
        <f t="shared" si="4"/>
        <v>134.35168316461662</v>
      </c>
      <c r="H8" s="2">
        <f t="shared" si="5"/>
        <v>0.59545216044654004</v>
      </c>
      <c r="I8" s="6">
        <f>-(H8-B8)/B8</f>
        <v>-2.1073046895659455E-3</v>
      </c>
      <c r="K8" s="8" t="s">
        <v>28</v>
      </c>
      <c r="L8" s="8" t="s">
        <v>29</v>
      </c>
      <c r="M8" s="8" t="s">
        <v>26</v>
      </c>
    </row>
    <row r="9" spans="1:13">
      <c r="A9" s="1" t="s">
        <v>18</v>
      </c>
      <c r="B9" s="2">
        <v>0.6069</v>
      </c>
      <c r="C9" s="2">
        <v>10</v>
      </c>
      <c r="D9" s="2">
        <f t="shared" ref="D9:D11" si="6">C9*1</f>
        <v>10</v>
      </c>
      <c r="E9" s="2">
        <f t="shared" ref="E9:E10" si="7">D9/B9</f>
        <v>16.477179106936891</v>
      </c>
      <c r="F9" s="2">
        <f t="shared" ref="F9" si="8">C9+F8</f>
        <v>90</v>
      </c>
      <c r="G9" s="2">
        <f t="shared" ref="G9" si="9">G8+E9</f>
        <v>150.8288622715535</v>
      </c>
      <c r="H9" s="2">
        <f t="shared" ref="H9" si="10">F9/G9</f>
        <v>0.59670277057426369</v>
      </c>
      <c r="I9" s="6">
        <f>-(H9-B9)/B9</f>
        <v>1.6802157564238439E-2</v>
      </c>
      <c r="K9" s="12">
        <f ca="1">OFFSET($H$1,L5,0)</f>
        <v>0.5925560076766736</v>
      </c>
      <c r="L9" s="12">
        <f ca="1">OFFSET($F$1,L5,0)</f>
        <v>190</v>
      </c>
      <c r="M9" s="12">
        <f ca="1">M7*(1+K5)</f>
        <v>0.58440000000000003</v>
      </c>
    </row>
    <row r="10" spans="1:13">
      <c r="A10" s="1" t="s">
        <v>35</v>
      </c>
      <c r="B10" s="2">
        <v>0.6089</v>
      </c>
      <c r="C10" s="2">
        <v>10</v>
      </c>
      <c r="D10" s="2">
        <f t="shared" si="6"/>
        <v>10</v>
      </c>
      <c r="E10" s="2">
        <f t="shared" si="7"/>
        <v>16.423057973394645</v>
      </c>
      <c r="F10" s="2">
        <f t="shared" ref="F10" si="11">C10+F9</f>
        <v>100</v>
      </c>
      <c r="G10" s="2">
        <f t="shared" ref="G10" si="12">G9+E10</f>
        <v>167.25192024494814</v>
      </c>
      <c r="H10" s="2">
        <f t="shared" ref="H10" si="13">F10/G10</f>
        <v>0.59790045969903005</v>
      </c>
      <c r="I10" s="6">
        <f>-(H10-B10)/B10</f>
        <v>1.8064608804352022E-2</v>
      </c>
    </row>
    <row r="11" spans="1:13">
      <c r="A11" s="1" t="s">
        <v>37</v>
      </c>
      <c r="B11" s="2">
        <v>0.58789999999999998</v>
      </c>
      <c r="C11" s="2">
        <v>60</v>
      </c>
      <c r="D11" s="2">
        <f t="shared" si="6"/>
        <v>60</v>
      </c>
      <c r="E11" s="2">
        <f t="shared" ref="E11" si="14">D11/B11</f>
        <v>102.05817315870047</v>
      </c>
      <c r="F11" s="2">
        <f t="shared" ref="F11" si="15">C11+F10</f>
        <v>160</v>
      </c>
      <c r="G11" s="2">
        <f t="shared" ref="G11" si="16">G10+E11</f>
        <v>269.31009340364858</v>
      </c>
      <c r="H11" s="2">
        <f t="shared" ref="H11" si="17">F11/G11</f>
        <v>0.59411066988933114</v>
      </c>
      <c r="I11" s="6">
        <f>-(H11-B11)/B11</f>
        <v>-1.0564160383281453E-2</v>
      </c>
    </row>
    <row r="12" spans="1:13">
      <c r="A12" s="1" t="s">
        <v>38</v>
      </c>
      <c r="B12" s="2">
        <v>0.58440000000000003</v>
      </c>
      <c r="C12" s="2">
        <v>30</v>
      </c>
      <c r="D12" s="2">
        <f t="shared" ref="D12" si="18">C12*1</f>
        <v>30</v>
      </c>
      <c r="E12" s="2">
        <f t="shared" ref="E12" si="19">D12/B12</f>
        <v>51.3347022587269</v>
      </c>
      <c r="F12" s="2">
        <f t="shared" ref="F12" si="20">C12+F11</f>
        <v>190</v>
      </c>
      <c r="G12" s="2">
        <f t="shared" ref="G12" si="21">G11+E12</f>
        <v>320.64479566237549</v>
      </c>
      <c r="H12" s="2">
        <f t="shared" ref="H12" si="22">F12/G12</f>
        <v>0.5925560076766736</v>
      </c>
      <c r="I12" s="6">
        <f>-(H12-B12)/B12</f>
        <v>-1.3956207523397622E-2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K41"/>
  <sheetViews>
    <sheetView zoomScale="85" zoomScaleNormal="85" workbookViewId="0">
      <selection activeCell="S12" sqref="S12"/>
    </sheetView>
  </sheetViews>
  <sheetFormatPr defaultColWidth="9" defaultRowHeight="15.75"/>
  <cols>
    <col min="1" max="1" width="9" style="2"/>
    <col min="2" max="2" width="8.44140625" style="2" customWidth="1"/>
    <col min="3" max="3" width="12.6640625" style="2" customWidth="1"/>
    <col min="4" max="5" width="9" style="2"/>
    <col min="6" max="6" width="14.33203125" style="2" customWidth="1"/>
    <col min="7" max="8" width="9" style="2"/>
    <col min="9" max="9" width="15.6640625" style="2" customWidth="1"/>
    <col min="10" max="16384" width="9" style="2"/>
  </cols>
  <sheetData>
    <row r="1" spans="1:11" ht="34.5" customHeight="1">
      <c r="A1" s="13" t="s">
        <v>20</v>
      </c>
      <c r="B1" s="13" t="s">
        <v>21</v>
      </c>
      <c r="C1" s="13" t="s">
        <v>25</v>
      </c>
      <c r="D1" s="13" t="s">
        <v>22</v>
      </c>
      <c r="E1" s="13" t="s">
        <v>23</v>
      </c>
      <c r="F1" s="13" t="s">
        <v>24</v>
      </c>
      <c r="G1" s="14"/>
      <c r="H1" s="2" t="s">
        <v>19</v>
      </c>
      <c r="I1" s="2" t="str">
        <f>IF(C2&gt;A2,"Don't invest!!!","Try invest.")</f>
        <v>Try invest.</v>
      </c>
      <c r="K1" s="6">
        <f>C2/A2-1</f>
        <v>-7.2623473088092583E-3</v>
      </c>
    </row>
    <row r="2" spans="1:11">
      <c r="A2" s="15">
        <v>1.1017734615332837</v>
      </c>
      <c r="B2" s="15">
        <v>90</v>
      </c>
      <c r="C2" s="15">
        <v>1.093772</v>
      </c>
      <c r="D2" s="2">
        <v>10</v>
      </c>
      <c r="E2" s="2">
        <f t="shared" ref="E2:E17" si="0">(B2+D2)/(B2/A2+D2/C2)</f>
        <v>1.1009680511268676</v>
      </c>
      <c r="F2" s="2">
        <f>-100*(1-E2/A2)</f>
        <v>-7.3101271226416742E-2</v>
      </c>
    </row>
    <row r="3" spans="1:11">
      <c r="A3" s="2">
        <f>A2</f>
        <v>1.1017734615332837</v>
      </c>
      <c r="B3" s="2">
        <f>B2</f>
        <v>90</v>
      </c>
      <c r="C3" s="2">
        <f>C2</f>
        <v>1.093772</v>
      </c>
      <c r="D3" s="2">
        <v>20</v>
      </c>
      <c r="E3" s="2">
        <f t="shared" si="0"/>
        <v>1.1003099543017558</v>
      </c>
      <c r="F3" s="2">
        <f t="shared" ref="F3:F21" si="1">-100*(1-E3/A3)</f>
        <v>-0.13283195526340164</v>
      </c>
    </row>
    <row r="4" spans="1:11">
      <c r="A4" s="2">
        <f t="shared" ref="A4:A17" si="2">A3</f>
        <v>1.1017734615332837</v>
      </c>
      <c r="B4" s="2">
        <f t="shared" ref="B4:B17" si="3">B3</f>
        <v>90</v>
      </c>
      <c r="C4" s="2">
        <f t="shared" ref="C4:C17" si="4">C3</f>
        <v>1.093772</v>
      </c>
      <c r="D4" s="2">
        <v>30</v>
      </c>
      <c r="E4" s="2">
        <f t="shared" si="0"/>
        <v>1.0997621409685951</v>
      </c>
      <c r="F4" s="2">
        <f t="shared" si="1"/>
        <v>-0.18255300521483608</v>
      </c>
    </row>
    <row r="5" spans="1:11">
      <c r="A5" s="2">
        <f t="shared" si="2"/>
        <v>1.1017734615332837</v>
      </c>
      <c r="B5" s="2">
        <f t="shared" si="3"/>
        <v>90</v>
      </c>
      <c r="C5" s="2">
        <f t="shared" si="4"/>
        <v>1.093772</v>
      </c>
      <c r="D5" s="2">
        <v>40</v>
      </c>
      <c r="E5" s="2">
        <f t="shared" si="0"/>
        <v>1.0992990324870331</v>
      </c>
      <c r="F5" s="2">
        <f t="shared" si="1"/>
        <v>-0.22458600907006021</v>
      </c>
    </row>
    <row r="6" spans="1:11">
      <c r="A6" s="2">
        <f t="shared" si="2"/>
        <v>1.1017734615332837</v>
      </c>
      <c r="B6" s="2">
        <f t="shared" si="3"/>
        <v>90</v>
      </c>
      <c r="C6" s="2">
        <f t="shared" si="4"/>
        <v>1.093772</v>
      </c>
      <c r="D6" s="2">
        <v>50</v>
      </c>
      <c r="E6" s="2">
        <f t="shared" si="0"/>
        <v>1.0989023926790751</v>
      </c>
      <c r="F6" s="2">
        <f t="shared" si="1"/>
        <v>-0.26058613267132547</v>
      </c>
    </row>
    <row r="7" spans="1:11">
      <c r="A7" s="2">
        <f t="shared" si="2"/>
        <v>1.1017734615332837</v>
      </c>
      <c r="B7" s="2">
        <f t="shared" si="3"/>
        <v>90</v>
      </c>
      <c r="C7" s="2">
        <f t="shared" si="4"/>
        <v>1.093772</v>
      </c>
      <c r="D7" s="2">
        <v>60</v>
      </c>
      <c r="E7" s="2">
        <f t="shared" si="0"/>
        <v>1.0985588696302566</v>
      </c>
      <c r="F7" s="2">
        <f t="shared" si="1"/>
        <v>-0.29176523262354204</v>
      </c>
    </row>
    <row r="8" spans="1:11">
      <c r="A8" s="2">
        <f t="shared" si="2"/>
        <v>1.1017734615332837</v>
      </c>
      <c r="B8" s="2">
        <f t="shared" si="3"/>
        <v>90</v>
      </c>
      <c r="C8" s="2">
        <f t="shared" si="4"/>
        <v>1.093772</v>
      </c>
      <c r="D8" s="2">
        <v>70</v>
      </c>
      <c r="E8" s="2">
        <f t="shared" si="0"/>
        <v>1.0982584630965384</v>
      </c>
      <c r="F8" s="2">
        <f t="shared" si="1"/>
        <v>-0.31903095867399367</v>
      </c>
    </row>
    <row r="9" spans="1:11">
      <c r="A9" s="2">
        <f t="shared" si="2"/>
        <v>1.1017734615332837</v>
      </c>
      <c r="B9" s="2">
        <f t="shared" si="3"/>
        <v>90</v>
      </c>
      <c r="C9" s="2">
        <f t="shared" si="4"/>
        <v>1.093772</v>
      </c>
      <c r="D9" s="2">
        <v>80</v>
      </c>
      <c r="E9" s="2">
        <f t="shared" si="0"/>
        <v>1.097993534914139</v>
      </c>
      <c r="F9" s="2">
        <f t="shared" si="1"/>
        <v>-0.34307657164698302</v>
      </c>
    </row>
    <row r="10" spans="1:11">
      <c r="A10" s="2">
        <f t="shared" si="2"/>
        <v>1.1017734615332837</v>
      </c>
      <c r="B10" s="2">
        <f t="shared" si="3"/>
        <v>90</v>
      </c>
      <c r="C10" s="2">
        <f t="shared" si="4"/>
        <v>1.093772</v>
      </c>
      <c r="D10" s="2">
        <v>90</v>
      </c>
      <c r="E10" s="2">
        <f t="shared" si="0"/>
        <v>1.0977581504749123</v>
      </c>
      <c r="F10" s="2">
        <f t="shared" si="1"/>
        <v>-0.36444071295594904</v>
      </c>
    </row>
    <row r="11" spans="1:11">
      <c r="A11" s="2">
        <f t="shared" si="2"/>
        <v>1.1017734615332837</v>
      </c>
      <c r="B11" s="2">
        <f t="shared" si="3"/>
        <v>90</v>
      </c>
      <c r="C11" s="2">
        <f t="shared" si="4"/>
        <v>1.093772</v>
      </c>
      <c r="D11" s="2">
        <v>100</v>
      </c>
      <c r="E11" s="2">
        <f t="shared" si="0"/>
        <v>1.0975476288747175</v>
      </c>
      <c r="F11" s="2">
        <f t="shared" si="1"/>
        <v>-0.38354823437890539</v>
      </c>
    </row>
    <row r="12" spans="1:11">
      <c r="A12" s="2">
        <f t="shared" si="2"/>
        <v>1.1017734615332837</v>
      </c>
      <c r="B12" s="2">
        <f t="shared" si="3"/>
        <v>90</v>
      </c>
      <c r="C12" s="2">
        <f t="shared" si="4"/>
        <v>1.093772</v>
      </c>
      <c r="D12" s="2">
        <v>110</v>
      </c>
      <c r="E12" s="2">
        <f t="shared" si="0"/>
        <v>1.0973582284597645</v>
      </c>
      <c r="F12" s="2">
        <f t="shared" si="1"/>
        <v>-0.40073873873988086</v>
      </c>
    </row>
    <row r="13" spans="1:11">
      <c r="A13" s="2">
        <f t="shared" si="2"/>
        <v>1.1017734615332837</v>
      </c>
      <c r="B13" s="2">
        <f t="shared" si="3"/>
        <v>90</v>
      </c>
      <c r="C13" s="2">
        <f t="shared" si="4"/>
        <v>1.093772</v>
      </c>
      <c r="D13" s="2">
        <v>120</v>
      </c>
      <c r="E13" s="2">
        <f t="shared" si="0"/>
        <v>1.0971869224973685</v>
      </c>
      <c r="F13" s="2">
        <f t="shared" si="1"/>
        <v>-0.41628694065042326</v>
      </c>
    </row>
    <row r="14" spans="1:11">
      <c r="A14" s="2">
        <f t="shared" si="2"/>
        <v>1.1017734615332837</v>
      </c>
      <c r="B14" s="2">
        <f t="shared" si="3"/>
        <v>90</v>
      </c>
      <c r="C14" s="2">
        <f t="shared" si="4"/>
        <v>1.093772</v>
      </c>
      <c r="D14" s="2">
        <v>130</v>
      </c>
      <c r="E14" s="2">
        <f t="shared" si="0"/>
        <v>1.0970312362097139</v>
      </c>
      <c r="F14" s="2">
        <f t="shared" si="1"/>
        <v>-0.43041745777487872</v>
      </c>
    </row>
    <row r="15" spans="1:11">
      <c r="A15" s="2">
        <f t="shared" si="2"/>
        <v>1.1017734615332837</v>
      </c>
      <c r="B15" s="2">
        <f t="shared" si="3"/>
        <v>90</v>
      </c>
      <c r="C15" s="2">
        <f t="shared" si="4"/>
        <v>1.093772</v>
      </c>
      <c r="D15" s="2">
        <v>140</v>
      </c>
      <c r="E15" s="2">
        <f t="shared" si="0"/>
        <v>1.096889126441708</v>
      </c>
      <c r="F15" s="2">
        <f t="shared" si="1"/>
        <v>-0.443315732508065</v>
      </c>
    </row>
    <row r="16" spans="1:11">
      <c r="A16" s="2">
        <f t="shared" si="2"/>
        <v>1.1017734615332837</v>
      </c>
      <c r="B16" s="2">
        <f t="shared" si="3"/>
        <v>90</v>
      </c>
      <c r="C16" s="2">
        <f t="shared" si="4"/>
        <v>1.093772</v>
      </c>
      <c r="D16" s="2">
        <v>150</v>
      </c>
      <c r="E16" s="2">
        <f t="shared" si="0"/>
        <v>1.0967588914940203</v>
      </c>
      <c r="F16" s="2">
        <f t="shared" si="1"/>
        <v>-0.4551362157775074</v>
      </c>
    </row>
    <row r="17" spans="1:6">
      <c r="A17" s="2">
        <f t="shared" si="2"/>
        <v>1.1017734615332837</v>
      </c>
      <c r="B17" s="2">
        <f t="shared" si="3"/>
        <v>90</v>
      </c>
      <c r="C17" s="2">
        <f t="shared" si="4"/>
        <v>1.093772</v>
      </c>
      <c r="D17" s="2">
        <v>160</v>
      </c>
      <c r="E17" s="2">
        <f t="shared" si="0"/>
        <v>1.096639102652919</v>
      </c>
      <c r="F17" s="2">
        <f t="shared" si="1"/>
        <v>-0.4660085815844095</v>
      </c>
    </row>
    <row r="18" spans="1:6">
      <c r="A18" s="2">
        <f t="shared" ref="A18:A41" si="5">A17</f>
        <v>1.1017734615332837</v>
      </c>
      <c r="B18" s="2">
        <f t="shared" ref="B18:B41" si="6">B17</f>
        <v>90</v>
      </c>
      <c r="C18" s="2">
        <f t="shared" ref="C18:C41" si="7">C17</f>
        <v>1.093772</v>
      </c>
      <c r="D18" s="2">
        <v>170</v>
      </c>
      <c r="E18" s="2">
        <f t="shared" ref="E18:E21" si="8">(B18+D18)/(B18/A18+D18/C18)</f>
        <v>1.0965285515607361</v>
      </c>
      <c r="F18" s="2">
        <f t="shared" si="1"/>
        <v>-0.47604250380549606</v>
      </c>
    </row>
    <row r="19" spans="1:6">
      <c r="A19" s="2">
        <f t="shared" si="5"/>
        <v>1.1017734615332837</v>
      </c>
      <c r="B19" s="2">
        <f t="shared" si="6"/>
        <v>90</v>
      </c>
      <c r="C19" s="2">
        <f t="shared" si="7"/>
        <v>1.093772</v>
      </c>
      <c r="D19" s="2">
        <v>180</v>
      </c>
      <c r="E19" s="2">
        <f t="shared" si="8"/>
        <v>1.0964262093101638</v>
      </c>
      <c r="F19" s="2">
        <f t="shared" si="1"/>
        <v>-0.48533136890758222</v>
      </c>
    </row>
    <row r="20" spans="1:6">
      <c r="A20" s="2">
        <f t="shared" si="5"/>
        <v>1.1017734615332837</v>
      </c>
      <c r="B20" s="2">
        <f t="shared" si="6"/>
        <v>90</v>
      </c>
      <c r="C20" s="2">
        <f t="shared" si="7"/>
        <v>1.093772</v>
      </c>
      <c r="D20" s="2">
        <v>190</v>
      </c>
      <c r="E20" s="2">
        <f t="shared" si="8"/>
        <v>1.0963311943245715</v>
      </c>
      <c r="F20" s="2">
        <f t="shared" si="1"/>
        <v>-0.49395519121857578</v>
      </c>
    </row>
    <row r="21" spans="1:6">
      <c r="A21" s="2">
        <f t="shared" si="5"/>
        <v>1.1017734615332837</v>
      </c>
      <c r="B21" s="2">
        <f t="shared" si="6"/>
        <v>90</v>
      </c>
      <c r="C21" s="2">
        <f t="shared" si="7"/>
        <v>1.093772</v>
      </c>
      <c r="D21" s="2">
        <v>200</v>
      </c>
      <c r="E21" s="2">
        <f t="shared" si="8"/>
        <v>1.0962427468987819</v>
      </c>
      <c r="F21" s="2">
        <f t="shared" si="1"/>
        <v>-0.50198292367698016</v>
      </c>
    </row>
    <row r="22" spans="1:6">
      <c r="A22" s="2">
        <f t="shared" si="5"/>
        <v>1.1017734615332837</v>
      </c>
      <c r="B22" s="2">
        <f t="shared" si="6"/>
        <v>90</v>
      </c>
      <c r="C22" s="2">
        <f t="shared" si="7"/>
        <v>1.093772</v>
      </c>
      <c r="D22" s="2">
        <v>210</v>
      </c>
      <c r="E22" s="2">
        <f t="shared" ref="E22:E27" si="9">(B22+D22)/(B22/A22+D22/C22)</f>
        <v>1.096160208842814</v>
      </c>
      <c r="F22" s="2">
        <f t="shared" ref="F22:F27" si="10">-100*(1-E22/A22)</f>
        <v>-0.50947430542191974</v>
      </c>
    </row>
    <row r="23" spans="1:6">
      <c r="A23" s="2">
        <f t="shared" si="5"/>
        <v>1.1017734615332837</v>
      </c>
      <c r="B23" s="2">
        <f t="shared" si="6"/>
        <v>90</v>
      </c>
      <c r="C23" s="2">
        <f t="shared" si="7"/>
        <v>1.093772</v>
      </c>
      <c r="D23" s="2">
        <v>220</v>
      </c>
      <c r="E23" s="2">
        <f t="shared" si="9"/>
        <v>1.0960830070738674</v>
      </c>
      <c r="F23" s="2">
        <f t="shared" si="10"/>
        <v>-0.51648135102992931</v>
      </c>
    </row>
    <row r="24" spans="1:6">
      <c r="A24" s="2">
        <f t="shared" si="5"/>
        <v>1.1017734615332837</v>
      </c>
      <c r="B24" s="2">
        <f t="shared" si="6"/>
        <v>90</v>
      </c>
      <c r="C24" s="2">
        <f t="shared" si="7"/>
        <v>1.093772</v>
      </c>
      <c r="D24" s="2">
        <v>230</v>
      </c>
      <c r="E24" s="2">
        <f t="shared" si="9"/>
        <v>1.0960106402911094</v>
      </c>
      <c r="F24" s="2">
        <f t="shared" si="10"/>
        <v>-0.52304955994805225</v>
      </c>
    </row>
    <row r="25" spans="1:6">
      <c r="A25" s="2">
        <f t="shared" si="5"/>
        <v>1.1017734615332837</v>
      </c>
      <c r="B25" s="2">
        <f t="shared" si="6"/>
        <v>90</v>
      </c>
      <c r="C25" s="2">
        <f t="shared" si="7"/>
        <v>1.093772</v>
      </c>
      <c r="D25" s="2">
        <v>240</v>
      </c>
      <c r="E25" s="2">
        <f t="shared" si="9"/>
        <v>1.0959426680780342</v>
      </c>
      <c r="F25" s="2">
        <f t="shared" si="10"/>
        <v>-0.52921890559380902</v>
      </c>
    </row>
    <row r="26" spans="1:6">
      <c r="A26" s="2">
        <f t="shared" si="5"/>
        <v>1.1017734615332837</v>
      </c>
      <c r="B26" s="2">
        <f t="shared" si="6"/>
        <v>90</v>
      </c>
      <c r="C26" s="2">
        <f t="shared" si="7"/>
        <v>1.093772</v>
      </c>
      <c r="D26" s="2">
        <v>250</v>
      </c>
      <c r="E26" s="2">
        <f t="shared" si="9"/>
        <v>1.0958787019316409</v>
      </c>
      <c r="F26" s="2">
        <f t="shared" si="10"/>
        <v>-0.5350246495717248</v>
      </c>
    </row>
    <row r="27" spans="1:6">
      <c r="A27" s="2">
        <f t="shared" si="5"/>
        <v>1.1017734615332837</v>
      </c>
      <c r="B27" s="2">
        <f t="shared" si="6"/>
        <v>90</v>
      </c>
      <c r="C27" s="2">
        <f t="shared" si="7"/>
        <v>1.093772</v>
      </c>
      <c r="D27" s="2">
        <v>260</v>
      </c>
      <c r="E27" s="2">
        <f t="shared" si="9"/>
        <v>1.0958183978323419</v>
      </c>
      <c r="F27" s="2">
        <f t="shared" si="10"/>
        <v>-0.54049801604899583</v>
      </c>
    </row>
    <row r="28" spans="1:6">
      <c r="A28" s="2">
        <f t="shared" si="5"/>
        <v>1.1017734615332837</v>
      </c>
      <c r="B28" s="2">
        <f t="shared" si="6"/>
        <v>90</v>
      </c>
      <c r="C28" s="2">
        <f t="shared" si="7"/>
        <v>1.093772</v>
      </c>
      <c r="D28" s="2">
        <v>270</v>
      </c>
      <c r="E28" s="2">
        <f t="shared" ref="E28:E38" si="11">(B28+D28)/(B28/A28+D28/C28)</f>
        <v>1.095761450054475</v>
      </c>
      <c r="F28" s="2">
        <f t="shared" ref="F28:F38" si="12">-100*(1-E28/A28)</f>
        <v>-0.54566675353044936</v>
      </c>
    </row>
    <row r="29" spans="1:6">
      <c r="A29" s="2">
        <f t="shared" si="5"/>
        <v>1.1017734615332837</v>
      </c>
      <c r="B29" s="2">
        <f t="shared" si="6"/>
        <v>90</v>
      </c>
      <c r="C29" s="2">
        <f t="shared" si="7"/>
        <v>1.093772</v>
      </c>
      <c r="D29" s="2">
        <v>280</v>
      </c>
      <c r="E29" s="2">
        <f t="shared" si="11"/>
        <v>1.0957075859822893</v>
      </c>
      <c r="F29" s="2">
        <f t="shared" si="12"/>
        <v>-0.55055560537397019</v>
      </c>
    </row>
    <row r="30" spans="1:6">
      <c r="A30" s="2">
        <f t="shared" si="5"/>
        <v>1.1017734615332837</v>
      </c>
      <c r="B30" s="2">
        <f t="shared" si="6"/>
        <v>90</v>
      </c>
      <c r="C30" s="2">
        <f t="shared" si="7"/>
        <v>1.093772</v>
      </c>
      <c r="D30" s="2">
        <v>290</v>
      </c>
      <c r="E30" s="2">
        <f t="shared" si="11"/>
        <v>1.0956565617458729</v>
      </c>
      <c r="F30" s="2">
        <f t="shared" si="12"/>
        <v>-0.55518670588582397</v>
      </c>
    </row>
    <row r="31" spans="1:6">
      <c r="A31" s="2">
        <f t="shared" si="5"/>
        <v>1.1017734615332837</v>
      </c>
      <c r="B31" s="2">
        <f t="shared" si="6"/>
        <v>90</v>
      </c>
      <c r="C31" s="2">
        <f t="shared" si="7"/>
        <v>1.093772</v>
      </c>
      <c r="D31" s="2">
        <v>300</v>
      </c>
      <c r="E31" s="2">
        <f t="shared" si="11"/>
        <v>1.0956081585296016</v>
      </c>
      <c r="F31" s="2">
        <f t="shared" si="12"/>
        <v>-0.55957991537590734</v>
      </c>
    </row>
    <row r="32" spans="1:6">
      <c r="A32" s="2">
        <f t="shared" si="5"/>
        <v>1.1017734615332837</v>
      </c>
      <c r="B32" s="2">
        <f t="shared" si="6"/>
        <v>90</v>
      </c>
      <c r="C32" s="2">
        <f t="shared" si="7"/>
        <v>1.093772</v>
      </c>
      <c r="D32" s="2">
        <v>310</v>
      </c>
      <c r="E32" s="2">
        <f t="shared" si="11"/>
        <v>1.0955621794352273</v>
      </c>
      <c r="F32" s="2">
        <f t="shared" si="12"/>
        <v>-0.56375310487262187</v>
      </c>
    </row>
    <row r="33" spans="1:6">
      <c r="A33" s="2">
        <f t="shared" si="5"/>
        <v>1.1017734615332837</v>
      </c>
      <c r="B33" s="2">
        <f t="shared" si="6"/>
        <v>90</v>
      </c>
      <c r="C33" s="2">
        <f t="shared" si="7"/>
        <v>1.093772</v>
      </c>
      <c r="D33" s="2">
        <v>320</v>
      </c>
      <c r="E33" s="2">
        <f t="shared" si="11"/>
        <v>1.0955184468047592</v>
      </c>
      <c r="F33" s="2">
        <f t="shared" si="12"/>
        <v>-0.56772239910550804</v>
      </c>
    </row>
    <row r="34" spans="1:6">
      <c r="A34" s="2">
        <f t="shared" si="5"/>
        <v>1.1017734615332837</v>
      </c>
      <c r="B34" s="2">
        <f t="shared" si="6"/>
        <v>90</v>
      </c>
      <c r="C34" s="2">
        <f t="shared" si="7"/>
        <v>1.093772</v>
      </c>
      <c r="D34" s="2">
        <v>330</v>
      </c>
      <c r="E34" s="2">
        <f t="shared" si="11"/>
        <v>1.0954767999263875</v>
      </c>
      <c r="F34" s="2">
        <f t="shared" si="12"/>
        <v>-0.5715023847219447</v>
      </c>
    </row>
    <row r="35" spans="1:6">
      <c r="A35" s="2">
        <f t="shared" si="5"/>
        <v>1.1017734615332837</v>
      </c>
      <c r="B35" s="2">
        <f t="shared" si="6"/>
        <v>90</v>
      </c>
      <c r="C35" s="2">
        <f t="shared" si="7"/>
        <v>1.093772</v>
      </c>
      <c r="D35" s="2">
        <v>340</v>
      </c>
      <c r="E35" s="2">
        <f t="shared" si="11"/>
        <v>1.0954370930609965</v>
      </c>
      <c r="F35" s="2">
        <f t="shared" si="12"/>
        <v>-0.57510628940627972</v>
      </c>
    </row>
    <row r="36" spans="1:6">
      <c r="A36" s="2">
        <f t="shared" si="5"/>
        <v>1.1017734615332837</v>
      </c>
      <c r="B36" s="2">
        <f t="shared" si="6"/>
        <v>90</v>
      </c>
      <c r="C36" s="2">
        <f t="shared" si="7"/>
        <v>1.093772</v>
      </c>
      <c r="D36" s="2">
        <v>350</v>
      </c>
      <c r="E36" s="2">
        <f t="shared" si="11"/>
        <v>1.0953991937381919</v>
      </c>
      <c r="F36" s="2">
        <f t="shared" si="12"/>
        <v>-0.57854613653708364</v>
      </c>
    </row>
    <row r="37" spans="1:6">
      <c r="A37" s="2">
        <f t="shared" si="5"/>
        <v>1.1017734615332837</v>
      </c>
      <c r="B37" s="2">
        <f t="shared" si="6"/>
        <v>90</v>
      </c>
      <c r="C37" s="2">
        <f t="shared" si="7"/>
        <v>1.093772</v>
      </c>
      <c r="D37" s="2">
        <v>360</v>
      </c>
      <c r="E37" s="2">
        <f t="shared" si="11"/>
        <v>1.0953629812798533</v>
      </c>
      <c r="F37" s="2">
        <f t="shared" si="12"/>
        <v>-0.58183287919362225</v>
      </c>
    </row>
    <row r="38" spans="1:6">
      <c r="A38" s="2">
        <f t="shared" si="5"/>
        <v>1.1017734615332837</v>
      </c>
      <c r="B38" s="2">
        <f t="shared" si="6"/>
        <v>90</v>
      </c>
      <c r="C38" s="2">
        <f t="shared" si="7"/>
        <v>1.093772</v>
      </c>
      <c r="D38" s="2">
        <v>370</v>
      </c>
      <c r="E38" s="2">
        <f t="shared" si="11"/>
        <v>1.0953283455165417</v>
      </c>
      <c r="F38" s="2">
        <f t="shared" si="12"/>
        <v>-0.58497651665820882</v>
      </c>
    </row>
    <row r="39" spans="1:6">
      <c r="A39" s="2">
        <f t="shared" si="5"/>
        <v>1.1017734615332837</v>
      </c>
      <c r="B39" s="2">
        <f t="shared" si="6"/>
        <v>90</v>
      </c>
      <c r="C39" s="2">
        <f t="shared" si="7"/>
        <v>1.093772</v>
      </c>
      <c r="D39" s="2">
        <v>380</v>
      </c>
      <c r="E39" s="2">
        <f t="shared" ref="E39:E41" si="13">(B39+D39)/(B39/A39+D39/C39)</f>
        <v>1.0952951856679976</v>
      </c>
      <c r="F39" s="2">
        <f t="shared" ref="F39:F41" si="14">-100*(1-E39/A39)</f>
        <v>-0.5879861960253252</v>
      </c>
    </row>
    <row r="40" spans="1:6">
      <c r="A40" s="2">
        <f t="shared" si="5"/>
        <v>1.1017734615332837</v>
      </c>
      <c r="B40" s="2">
        <f t="shared" si="6"/>
        <v>90</v>
      </c>
      <c r="C40" s="2">
        <f t="shared" si="7"/>
        <v>1.093772</v>
      </c>
      <c r="D40" s="2">
        <v>390</v>
      </c>
      <c r="E40" s="2">
        <f t="shared" si="13"/>
        <v>1.0952634093637681</v>
      </c>
      <c r="F40" s="2">
        <f t="shared" si="14"/>
        <v>-0.59087030109219452</v>
      </c>
    </row>
    <row r="41" spans="1:6">
      <c r="A41" s="2">
        <f t="shared" si="5"/>
        <v>1.1017734615332837</v>
      </c>
      <c r="B41" s="2">
        <f t="shared" si="6"/>
        <v>90</v>
      </c>
      <c r="C41" s="2">
        <f t="shared" si="7"/>
        <v>1.093772</v>
      </c>
      <c r="D41" s="2">
        <v>400</v>
      </c>
      <c r="E41" s="2">
        <f t="shared" si="13"/>
        <v>1.0952329317839171</v>
      </c>
      <c r="F41" s="2">
        <f t="shared" si="14"/>
        <v>-0.5936365303503055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001593-1</vt:lpstr>
      <vt:lpstr>000961</vt:lpstr>
      <vt:lpstr>000962</vt:lpstr>
      <vt:lpstr>001593-2</vt:lpstr>
      <vt:lpstr>suggest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齊振華</dc:creator>
  <cp:lastModifiedBy>Rocky</cp:lastModifiedBy>
  <dcterms:created xsi:type="dcterms:W3CDTF">2019-05-15T00:13:11Z</dcterms:created>
  <dcterms:modified xsi:type="dcterms:W3CDTF">2019-05-20T14:17:57Z</dcterms:modified>
</cp:coreProperties>
</file>