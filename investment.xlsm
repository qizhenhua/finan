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00" windowWidth="20100" windowHeight="7455" activeTab="3"/>
  </bookViews>
  <sheets>
    <sheet name="001593-1" sheetId="1" r:id="rId1"/>
    <sheet name="000961" sheetId="5" r:id="rId2"/>
    <sheet name="000962" sheetId="6" r:id="rId3"/>
    <sheet name="001593-2" sheetId="4" r:id="rId4"/>
    <sheet name="suggest" sheetId="2" r:id="rId5"/>
  </sheets>
  <functionGroups builtInGroupCount="17"/>
  <calcPr calcId="144525"/>
</workbook>
</file>

<file path=xl/calcChain.xml><?xml version="1.0" encoding="utf-8"?>
<calcChain xmlns="http://schemas.openxmlformats.org/spreadsheetml/2006/main">
  <c r="I2" i="4" l="1"/>
  <c r="I2" i="1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U2" i="4"/>
  <c r="U3" i="4" s="1"/>
  <c r="T2" i="4"/>
  <c r="V2" i="4" s="1"/>
  <c r="V3" i="4" s="1"/>
  <c r="V4" i="4" s="1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S2" i="4"/>
  <c r="S9" i="6"/>
  <c r="R9" i="6"/>
  <c r="S8" i="6"/>
  <c r="R8" i="6"/>
  <c r="S7" i="6"/>
  <c r="R7" i="6"/>
  <c r="S6" i="6"/>
  <c r="R6" i="6"/>
  <c r="S5" i="6"/>
  <c r="R5" i="6"/>
  <c r="S4" i="6"/>
  <c r="R4" i="6"/>
  <c r="S3" i="6"/>
  <c r="R3" i="6"/>
  <c r="W2" i="6"/>
  <c r="T2" i="6"/>
  <c r="T3" i="6" s="1"/>
  <c r="R2" i="6"/>
  <c r="S2" i="6" s="1"/>
  <c r="U2" i="6" s="1"/>
  <c r="U3" i="6" s="1"/>
  <c r="U4" i="6" s="1"/>
  <c r="U5" i="6" s="1"/>
  <c r="U6" i="6" s="1"/>
  <c r="U7" i="6" s="1"/>
  <c r="U8" i="6" s="1"/>
  <c r="U9" i="6" s="1"/>
  <c r="R16" i="1"/>
  <c r="S16" i="1" s="1"/>
  <c r="R15" i="1"/>
  <c r="S15" i="1" s="1"/>
  <c r="R14" i="1"/>
  <c r="S14" i="1" s="1"/>
  <c r="R13" i="1"/>
  <c r="S13" i="1" s="1"/>
  <c r="R12" i="1"/>
  <c r="S12" i="1" s="1"/>
  <c r="R11" i="1"/>
  <c r="S11" i="1" s="1"/>
  <c r="R10" i="1"/>
  <c r="S10" i="1" s="1"/>
  <c r="R9" i="1"/>
  <c r="S9" i="1" s="1"/>
  <c r="R8" i="1"/>
  <c r="S8" i="1" s="1"/>
  <c r="R7" i="1"/>
  <c r="S7" i="1" s="1"/>
  <c r="R6" i="1"/>
  <c r="S6" i="1" s="1"/>
  <c r="R5" i="1"/>
  <c r="S5" i="1" s="1"/>
  <c r="R4" i="1"/>
  <c r="S4" i="1" s="1"/>
  <c r="R3" i="1"/>
  <c r="S3" i="1" s="1"/>
  <c r="T2" i="1"/>
  <c r="T3" i="1" s="1"/>
  <c r="S2" i="1"/>
  <c r="U2" i="1" s="1"/>
  <c r="U3" i="1" s="1"/>
  <c r="R2" i="1"/>
  <c r="F17" i="5"/>
  <c r="H17" i="5" s="1"/>
  <c r="I17" i="5" s="1"/>
  <c r="G17" i="5"/>
  <c r="D17" i="5"/>
  <c r="E17" i="5" s="1"/>
  <c r="U4" i="4" l="1"/>
  <c r="W3" i="4"/>
  <c r="X3" i="4" s="1"/>
  <c r="W2" i="4"/>
  <c r="X2" i="4" s="1"/>
  <c r="T4" i="6"/>
  <c r="V3" i="6"/>
  <c r="W3" i="6" s="1"/>
  <c r="U4" i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T4" i="1"/>
  <c r="V3" i="1"/>
  <c r="W3" i="1" s="1"/>
  <c r="E15" i="5"/>
  <c r="F15" i="5"/>
  <c r="G15" i="5"/>
  <c r="H15" i="5" s="1"/>
  <c r="I15" i="5" s="1"/>
  <c r="E16" i="5"/>
  <c r="F16" i="5"/>
  <c r="D16" i="5"/>
  <c r="D15" i="5"/>
  <c r="L4" i="6"/>
  <c r="L4" i="5"/>
  <c r="U5" i="4" l="1"/>
  <c r="W4" i="4"/>
  <c r="X4" i="4" s="1"/>
  <c r="T5" i="6"/>
  <c r="V4" i="6"/>
  <c r="W4" i="6" s="1"/>
  <c r="T5" i="1"/>
  <c r="V4" i="1"/>
  <c r="W4" i="1" s="1"/>
  <c r="H16" i="5"/>
  <c r="I16" i="5" s="1"/>
  <c r="G16" i="5"/>
  <c r="F14" i="5"/>
  <c r="E14" i="5"/>
  <c r="G14" i="5" s="1"/>
  <c r="H14" i="5" s="1"/>
  <c r="I14" i="5" s="1"/>
  <c r="D14" i="5"/>
  <c r="I2" i="6"/>
  <c r="I4" i="5"/>
  <c r="I5" i="5"/>
  <c r="I6" i="5"/>
  <c r="I7" i="5"/>
  <c r="I8" i="5"/>
  <c r="I9" i="5"/>
  <c r="I10" i="5"/>
  <c r="I11" i="5"/>
  <c r="I12" i="5"/>
  <c r="I13" i="5"/>
  <c r="I2" i="5"/>
  <c r="I3" i="5"/>
  <c r="U6" i="4" l="1"/>
  <c r="W5" i="4"/>
  <c r="X5" i="4" s="1"/>
  <c r="T6" i="6"/>
  <c r="V5" i="6"/>
  <c r="W5" i="6" s="1"/>
  <c r="T6" i="1"/>
  <c r="V5" i="1"/>
  <c r="W5" i="1" s="1"/>
  <c r="E4" i="5"/>
  <c r="F4" i="5"/>
  <c r="G4" i="5"/>
  <c r="H4" i="5" s="1"/>
  <c r="F5" i="5"/>
  <c r="F6" i="5" s="1"/>
  <c r="E7" i="5"/>
  <c r="E8" i="5"/>
  <c r="E9" i="5"/>
  <c r="E10" i="5"/>
  <c r="E11" i="5"/>
  <c r="E12" i="5"/>
  <c r="E13" i="5"/>
  <c r="F3" i="5"/>
  <c r="H3" i="5" s="1"/>
  <c r="E3" i="5"/>
  <c r="G3" i="5" s="1"/>
  <c r="D4" i="5"/>
  <c r="D5" i="5"/>
  <c r="E5" i="5" s="1"/>
  <c r="D6" i="5"/>
  <c r="E6" i="5" s="1"/>
  <c r="D7" i="5"/>
  <c r="D8" i="5"/>
  <c r="D9" i="5"/>
  <c r="D10" i="5"/>
  <c r="D11" i="5"/>
  <c r="D12" i="5"/>
  <c r="D13" i="5"/>
  <c r="U7" i="4" l="1"/>
  <c r="W6" i="4"/>
  <c r="X6" i="4" s="1"/>
  <c r="T7" i="6"/>
  <c r="V6" i="6"/>
  <c r="W6" i="6" s="1"/>
  <c r="T7" i="1"/>
  <c r="V6" i="1"/>
  <c r="W6" i="1" s="1"/>
  <c r="F7" i="5"/>
  <c r="G5" i="5"/>
  <c r="L11" i="1"/>
  <c r="U8" i="4" l="1"/>
  <c r="W7" i="4"/>
  <c r="X7" i="4" s="1"/>
  <c r="T8" i="6"/>
  <c r="V7" i="6"/>
  <c r="W7" i="6" s="1"/>
  <c r="T8" i="1"/>
  <c r="V7" i="1"/>
  <c r="W7" i="1" s="1"/>
  <c r="H5" i="5"/>
  <c r="G6" i="5"/>
  <c r="F8" i="5"/>
  <c r="U9" i="4" l="1"/>
  <c r="W8" i="4"/>
  <c r="X8" i="4" s="1"/>
  <c r="T9" i="6"/>
  <c r="V9" i="6" s="1"/>
  <c r="W9" i="6" s="1"/>
  <c r="V8" i="6"/>
  <c r="W8" i="6" s="1"/>
  <c r="T9" i="1"/>
  <c r="V8" i="1"/>
  <c r="W8" i="1" s="1"/>
  <c r="F9" i="5"/>
  <c r="G7" i="5"/>
  <c r="H6" i="5"/>
  <c r="D3" i="6"/>
  <c r="E3" i="6" s="1"/>
  <c r="F3" i="6"/>
  <c r="L5" i="4"/>
  <c r="U10" i="4" l="1"/>
  <c r="W9" i="4"/>
  <c r="X9" i="4" s="1"/>
  <c r="T10" i="1"/>
  <c r="V9" i="1"/>
  <c r="W9" i="1" s="1"/>
  <c r="G8" i="5"/>
  <c r="H7" i="5"/>
  <c r="F10" i="5"/>
  <c r="M7" i="4"/>
  <c r="M6" i="6"/>
  <c r="M6" i="5"/>
  <c r="G3" i="6"/>
  <c r="U11" i="4" l="1"/>
  <c r="W10" i="4"/>
  <c r="X10" i="4" s="1"/>
  <c r="H3" i="6"/>
  <c r="I3" i="6" s="1"/>
  <c r="L8" i="6"/>
  <c r="T11" i="1"/>
  <c r="V10" i="1"/>
  <c r="W10" i="1" s="1"/>
  <c r="M9" i="4"/>
  <c r="M8" i="6"/>
  <c r="M8" i="5"/>
  <c r="F11" i="5"/>
  <c r="G9" i="5"/>
  <c r="H8" i="5"/>
  <c r="U12" i="4" l="1"/>
  <c r="W11" i="4"/>
  <c r="X11" i="4" s="1"/>
  <c r="T12" i="1"/>
  <c r="V11" i="1"/>
  <c r="W11" i="1" s="1"/>
  <c r="F12" i="5"/>
  <c r="G10" i="5"/>
  <c r="H9" i="5"/>
  <c r="U13" i="4" l="1"/>
  <c r="W12" i="4"/>
  <c r="X12" i="4" s="1"/>
  <c r="T13" i="1"/>
  <c r="V12" i="1"/>
  <c r="W12" i="1" s="1"/>
  <c r="G11" i="5"/>
  <c r="H10" i="5"/>
  <c r="F13" i="5"/>
  <c r="M13" i="1"/>
  <c r="K1" i="2"/>
  <c r="A3" i="2"/>
  <c r="A4" i="2" s="1"/>
  <c r="I1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E2" i="2"/>
  <c r="F2" i="2" s="1"/>
  <c r="E3" i="4"/>
  <c r="D3" i="4"/>
  <c r="D3" i="5"/>
  <c r="D2" i="5"/>
  <c r="E2" i="5" s="1"/>
  <c r="G2" i="5" s="1"/>
  <c r="D3" i="1"/>
  <c r="E3" i="1" s="1"/>
  <c r="D2" i="1"/>
  <c r="F2" i="5"/>
  <c r="F3" i="4"/>
  <c r="G3" i="4"/>
  <c r="U14" i="4" l="1"/>
  <c r="W13" i="4"/>
  <c r="X13" i="4" s="1"/>
  <c r="T14" i="1"/>
  <c r="V13" i="1"/>
  <c r="W13" i="1" s="1"/>
  <c r="M15" i="1"/>
  <c r="G12" i="5"/>
  <c r="H11" i="5"/>
  <c r="C19" i="2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B20" i="2"/>
  <c r="E4" i="2"/>
  <c r="F4" i="2" s="1"/>
  <c r="A5" i="2"/>
  <c r="E3" i="2"/>
  <c r="F3" i="2" s="1"/>
  <c r="H3" i="4"/>
  <c r="I3" i="4" s="1"/>
  <c r="U15" i="4" l="1"/>
  <c r="W14" i="4"/>
  <c r="X14" i="4" s="1"/>
  <c r="T15" i="1"/>
  <c r="V14" i="1"/>
  <c r="W14" i="1" s="1"/>
  <c r="G13" i="5"/>
  <c r="H13" i="5" s="1"/>
  <c r="H12" i="5"/>
  <c r="B21" i="2"/>
  <c r="B22" i="2" s="1"/>
  <c r="A6" i="2"/>
  <c r="E5" i="2"/>
  <c r="F5" i="2" s="1"/>
  <c r="F2" i="1"/>
  <c r="F3" i="1" s="1"/>
  <c r="U16" i="4" l="1"/>
  <c r="W16" i="4" s="1"/>
  <c r="X16" i="4" s="1"/>
  <c r="W15" i="4"/>
  <c r="X15" i="4" s="1"/>
  <c r="T16" i="1"/>
  <c r="V16" i="1" s="1"/>
  <c r="W16" i="1" s="1"/>
  <c r="V15" i="1"/>
  <c r="W15" i="1" s="1"/>
  <c r="B23" i="2"/>
  <c r="B24" i="2" s="1"/>
  <c r="A7" i="2"/>
  <c r="E6" i="2"/>
  <c r="F6" i="2" s="1"/>
  <c r="G3" i="1"/>
  <c r="B25" i="2" l="1"/>
  <c r="H3" i="1"/>
  <c r="I3" i="1" s="1"/>
  <c r="A8" i="2"/>
  <c r="E7" i="2"/>
  <c r="F7" i="2" s="1"/>
  <c r="K8" i="6" l="1"/>
  <c r="B26" i="2"/>
  <c r="B27" i="2" s="1"/>
  <c r="A9" i="2"/>
  <c r="E8" i="2"/>
  <c r="F8" i="2" s="1"/>
  <c r="K6" i="6" l="1"/>
  <c r="L6" i="6"/>
  <c r="B28" i="2"/>
  <c r="A10" i="2"/>
  <c r="E9" i="2"/>
  <c r="F9" i="2" s="1"/>
  <c r="B29" i="2" l="1"/>
  <c r="A11" i="2"/>
  <c r="E10" i="2"/>
  <c r="F10" i="2" s="1"/>
  <c r="B30" i="2" l="1"/>
  <c r="A12" i="2"/>
  <c r="E11" i="2"/>
  <c r="F11" i="2" s="1"/>
  <c r="B31" i="2" l="1"/>
  <c r="A13" i="2"/>
  <c r="E12" i="2"/>
  <c r="F12" i="2" s="1"/>
  <c r="L8" i="5" l="1"/>
  <c r="B32" i="2"/>
  <c r="A14" i="2"/>
  <c r="E13" i="2"/>
  <c r="F13" i="2" s="1"/>
  <c r="K8" i="5" l="1"/>
  <c r="K6" i="5" s="1"/>
  <c r="B33" i="2"/>
  <c r="A15" i="2"/>
  <c r="E14" i="2"/>
  <c r="F14" i="2" s="1"/>
  <c r="L6" i="5" l="1"/>
  <c r="K15" i="1"/>
  <c r="K13" i="1" s="1"/>
  <c r="B34" i="2"/>
  <c r="A16" i="2"/>
  <c r="E15" i="2"/>
  <c r="F15" i="2" s="1"/>
  <c r="L15" i="1" l="1"/>
  <c r="L13" i="1"/>
  <c r="B35" i="2"/>
  <c r="A17" i="2"/>
  <c r="A18" i="2" s="1"/>
  <c r="E16" i="2"/>
  <c r="F16" i="2" s="1"/>
  <c r="L9" i="4" l="1"/>
  <c r="B36" i="2"/>
  <c r="A19" i="2"/>
  <c r="E18" i="2"/>
  <c r="F18" i="2" s="1"/>
  <c r="E17" i="2"/>
  <c r="F17" i="2" s="1"/>
  <c r="K9" i="4" l="1"/>
  <c r="B37" i="2"/>
  <c r="A20" i="2"/>
  <c r="E19" i="2"/>
  <c r="F19" i="2" s="1"/>
  <c r="K7" i="4" l="1"/>
  <c r="L7" i="4"/>
  <c r="B38" i="2"/>
  <c r="A21" i="2"/>
  <c r="E20" i="2"/>
  <c r="F20" i="2" s="1"/>
  <c r="B39" i="2" l="1"/>
  <c r="E21" i="2"/>
  <c r="F21" i="2" s="1"/>
  <c r="A22" i="2"/>
  <c r="A23" i="2" l="1"/>
  <c r="E22" i="2"/>
  <c r="F22" i="2" s="1"/>
  <c r="B40" i="2"/>
  <c r="B41" i="2" s="1"/>
  <c r="E23" i="2" l="1"/>
  <c r="F23" i="2" s="1"/>
  <c r="A24" i="2"/>
  <c r="A25" i="2" l="1"/>
  <c r="E24" i="2"/>
  <c r="F24" i="2" s="1"/>
  <c r="A26" i="2" l="1"/>
  <c r="E25" i="2"/>
  <c r="F25" i="2" s="1"/>
  <c r="E26" i="2" l="1"/>
  <c r="F26" i="2" s="1"/>
  <c r="A27" i="2"/>
  <c r="A28" i="2" l="1"/>
  <c r="E27" i="2"/>
  <c r="F27" i="2" s="1"/>
  <c r="A29" i="2" l="1"/>
  <c r="E28" i="2"/>
  <c r="F28" i="2" s="1"/>
  <c r="A30" i="2" l="1"/>
  <c r="E29" i="2"/>
  <c r="F29" i="2" s="1"/>
  <c r="A31" i="2" l="1"/>
  <c r="E30" i="2"/>
  <c r="F30" i="2" s="1"/>
  <c r="A32" i="2" l="1"/>
  <c r="E31" i="2"/>
  <c r="F31" i="2" s="1"/>
  <c r="A33" i="2" l="1"/>
  <c r="E32" i="2"/>
  <c r="F32" i="2" s="1"/>
  <c r="A34" i="2" l="1"/>
  <c r="E33" i="2"/>
  <c r="F33" i="2" s="1"/>
  <c r="A35" i="2" l="1"/>
  <c r="E34" i="2"/>
  <c r="F34" i="2" s="1"/>
  <c r="A36" i="2" l="1"/>
  <c r="E35" i="2"/>
  <c r="F35" i="2" s="1"/>
  <c r="A37" i="2" l="1"/>
  <c r="E36" i="2"/>
  <c r="F36" i="2" s="1"/>
  <c r="A38" i="2" l="1"/>
  <c r="E37" i="2"/>
  <c r="F37" i="2" s="1"/>
  <c r="A39" i="2" l="1"/>
  <c r="E38" i="2"/>
  <c r="F38" i="2" s="1"/>
  <c r="A40" i="2" l="1"/>
  <c r="E39" i="2"/>
  <c r="F39" i="2" s="1"/>
  <c r="E40" i="2" l="1"/>
  <c r="F40" i="2" s="1"/>
  <c r="A41" i="2"/>
  <c r="E41" i="2" s="1"/>
  <c r="F41" i="2" s="1"/>
</calcChain>
</file>

<file path=xl/comments1.xml><?xml version="1.0" encoding="utf-8"?>
<comments xmlns="http://schemas.openxmlformats.org/spreadsheetml/2006/main">
  <authors>
    <author>齊振華</author>
  </authors>
  <commentList>
    <comment ref="F2" authorId="0">
      <text>
        <r>
          <rPr>
            <b/>
            <sz val="9"/>
            <color indexed="81"/>
            <rFont val="細明體"/>
            <family val="3"/>
            <charset val="136"/>
          </rPr>
          <t>投資</t>
        </r>
        <r>
          <rPr>
            <b/>
            <sz val="9"/>
            <color indexed="81"/>
            <rFont val="Tahoma"/>
            <family val="2"/>
          </rPr>
          <t>10,</t>
        </r>
        <r>
          <rPr>
            <b/>
            <sz val="9"/>
            <color indexed="81"/>
            <rFont val="細明體"/>
            <family val="3"/>
            <charset val="136"/>
          </rPr>
          <t>將庫存價格拉偏離的的點數</t>
        </r>
      </text>
    </comment>
  </commentList>
</comments>
</file>

<file path=xl/sharedStrings.xml><?xml version="1.0" encoding="utf-8"?>
<sst xmlns="http://schemas.openxmlformats.org/spreadsheetml/2006/main" count="162" uniqueCount="52">
  <si>
    <t>Date</t>
    <phoneticPr fontId="1" type="noConversion"/>
  </si>
  <si>
    <t>Price</t>
    <phoneticPr fontId="1" type="noConversion"/>
  </si>
  <si>
    <t>Invent</t>
    <phoneticPr fontId="1" type="noConversion"/>
  </si>
  <si>
    <t>Share</t>
    <phoneticPr fontId="1" type="noConversion"/>
  </si>
  <si>
    <t>2019-05-06</t>
    <phoneticPr fontId="1" type="noConversion"/>
  </si>
  <si>
    <t>2019-05-07</t>
  </si>
  <si>
    <t>2019-05-08</t>
  </si>
  <si>
    <t>2019-05-09</t>
  </si>
  <si>
    <t>2019-05-10</t>
  </si>
  <si>
    <t>2019-05-13</t>
    <phoneticPr fontId="1" type="noConversion"/>
  </si>
  <si>
    <t>2019-05-14</t>
    <phoneticPr fontId="1" type="noConversion"/>
  </si>
  <si>
    <t>Cumulate Invent</t>
    <phoneticPr fontId="1" type="noConversion"/>
  </si>
  <si>
    <t>Cumulate share</t>
    <phoneticPr fontId="1" type="noConversion"/>
  </si>
  <si>
    <t>stockprice</t>
    <phoneticPr fontId="1" type="noConversion"/>
  </si>
  <si>
    <t>balance rate</t>
    <phoneticPr fontId="1" type="noConversion"/>
  </si>
  <si>
    <t>Deduct</t>
    <phoneticPr fontId="1" type="noConversion"/>
  </si>
  <si>
    <t>deduct</t>
    <phoneticPr fontId="1" type="noConversion"/>
  </si>
  <si>
    <t>deduct</t>
    <phoneticPr fontId="1" type="noConversion"/>
  </si>
  <si>
    <t>2019-05-15</t>
    <phoneticPr fontId="1" type="noConversion"/>
  </si>
  <si>
    <t>suggest:</t>
    <phoneticPr fontId="1" type="noConversion"/>
  </si>
  <si>
    <t>P1
(stock)fix</t>
    <phoneticPr fontId="1" type="noConversion"/>
  </si>
  <si>
    <t>M1
(stock)fix</t>
    <phoneticPr fontId="1" type="noConversion"/>
  </si>
  <si>
    <t>M2
invent</t>
    <phoneticPr fontId="1" type="noConversion"/>
  </si>
  <si>
    <t>P
average</t>
    <phoneticPr fontId="1" type="noConversion"/>
  </si>
  <si>
    <t>stock price
increased(%)</t>
    <phoneticPr fontId="1" type="noConversion"/>
  </si>
  <si>
    <t>P2
(Market)fix</t>
    <phoneticPr fontId="1" type="noConversion"/>
  </si>
  <si>
    <t>Todays Market</t>
    <phoneticPr fontId="1" type="noConversion"/>
  </si>
  <si>
    <t>Cumulate Invent</t>
    <phoneticPr fontId="1" type="noConversion"/>
  </si>
  <si>
    <t>Stockprice:</t>
    <phoneticPr fontId="1" type="noConversion"/>
  </si>
  <si>
    <t>MInvested:</t>
    <phoneticPr fontId="1" type="noConversion"/>
  </si>
  <si>
    <t>Today is: Xth</t>
    <phoneticPr fontId="1" type="noConversion"/>
  </si>
  <si>
    <t>Input estimate:%</t>
    <phoneticPr fontId="1" type="noConversion"/>
  </si>
  <si>
    <t>balance rate:%</t>
    <phoneticPr fontId="1" type="noConversion"/>
  </si>
  <si>
    <t>Cotrol rate:</t>
    <phoneticPr fontId="1" type="noConversion"/>
  </si>
  <si>
    <t>Last Market</t>
    <phoneticPr fontId="1" type="noConversion"/>
  </si>
  <si>
    <t>2019-05-16</t>
    <phoneticPr fontId="1" type="noConversion"/>
  </si>
  <si>
    <t>balance rate:%</t>
    <phoneticPr fontId="1" type="noConversion"/>
  </si>
  <si>
    <t>2019-05-17</t>
  </si>
  <si>
    <t>2019-05-20</t>
    <phoneticPr fontId="1" type="noConversion"/>
  </si>
  <si>
    <t>2019-05-21</t>
    <phoneticPr fontId="1" type="noConversion"/>
  </si>
  <si>
    <t>2019-05-22</t>
    <phoneticPr fontId="1" type="noConversion"/>
  </si>
  <si>
    <t>2019-05-16</t>
    <phoneticPr fontId="1" type="noConversion"/>
  </si>
  <si>
    <t>2019-05-17</t>
    <phoneticPr fontId="1" type="noConversion"/>
  </si>
  <si>
    <t>2019-05-23</t>
    <phoneticPr fontId="1" type="noConversion"/>
  </si>
  <si>
    <t>2019-05-24</t>
    <phoneticPr fontId="1" type="noConversion"/>
  </si>
  <si>
    <t>2019-05-27</t>
    <phoneticPr fontId="1" type="noConversion"/>
  </si>
  <si>
    <t>2019-05-24</t>
    <phoneticPr fontId="1" type="noConversion"/>
  </si>
  <si>
    <t>2019-05-27</t>
    <phoneticPr fontId="1" type="noConversion"/>
  </si>
  <si>
    <t>2019-05-28</t>
  </si>
  <si>
    <t>2019-05-28</t>
    <phoneticPr fontId="1" type="noConversion"/>
  </si>
  <si>
    <t>2019-05-27</t>
    <phoneticPr fontId="1" type="noConversion"/>
  </si>
  <si>
    <t>2019-05-28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</si>
</sst>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新細明體"/>
      <family val="2"/>
      <charset val="136"/>
    </font>
    <font>
      <sz val="9"/>
      <name val="新細明體"/>
      <family val="2"/>
      <charset val="136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0" borderId="0" xfId="0" applyNumberFormat="1" applyFont="1">
      <alignment vertical="center"/>
    </xf>
    <xf numFmtId="0" fontId="4" fillId="0" borderId="1" xfId="0" applyFont="1" applyBorder="1">
      <alignment vertical="center"/>
    </xf>
    <xf numFmtId="0" fontId="4" fillId="0" borderId="0" xfId="0" applyFont="1" applyBorder="1">
      <alignment vertical="center"/>
    </xf>
    <xf numFmtId="10" fontId="4" fillId="0" borderId="0" xfId="0" applyNumberFormat="1" applyFont="1">
      <alignment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'000961'!$B$3:$B$17</c:f>
              <c:numCache>
                <c:formatCode>General</c:formatCode>
                <c:ptCount val="15"/>
                <c:pt idx="0">
                  <c:v>1.1145</c:v>
                </c:pt>
                <c:pt idx="1">
                  <c:v>1.0996999999999999</c:v>
                </c:pt>
                <c:pt idx="2">
                  <c:v>1.0806</c:v>
                </c:pt>
                <c:pt idx="3">
                  <c:v>1.1174999999999999</c:v>
                </c:pt>
                <c:pt idx="4">
                  <c:v>1.1001000000000001</c:v>
                </c:pt>
                <c:pt idx="5">
                  <c:v>1.0935999999999999</c:v>
                </c:pt>
                <c:pt idx="6">
                  <c:v>1.117</c:v>
                </c:pt>
                <c:pt idx="7">
                  <c:v>1.1215999999999999</c:v>
                </c:pt>
                <c:pt idx="8">
                  <c:v>1.0944</c:v>
                </c:pt>
                <c:pt idx="9">
                  <c:v>1.0857000000000001</c:v>
                </c:pt>
                <c:pt idx="10">
                  <c:v>1.0995999999999999</c:v>
                </c:pt>
                <c:pt idx="11">
                  <c:v>1.0948</c:v>
                </c:pt>
                <c:pt idx="12">
                  <c:v>1.0777000000000001</c:v>
                </c:pt>
                <c:pt idx="13">
                  <c:v>1.0807</c:v>
                </c:pt>
                <c:pt idx="14">
                  <c:v>1.0934999999999999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'000961'!$H$3:$H$17</c:f>
              <c:numCache>
                <c:formatCode>General</c:formatCode>
                <c:ptCount val="15"/>
                <c:pt idx="0">
                  <c:v>1.1156156156156156</c:v>
                </c:pt>
                <c:pt idx="1">
                  <c:v>1.1156156156156156</c:v>
                </c:pt>
                <c:pt idx="2">
                  <c:v>1.1156156156156156</c:v>
                </c:pt>
                <c:pt idx="3">
                  <c:v>1.1171150989699377</c:v>
                </c:pt>
                <c:pt idx="4">
                  <c:v>1.1171150989699377</c:v>
                </c:pt>
                <c:pt idx="5">
                  <c:v>1.1010081631099082</c:v>
                </c:pt>
                <c:pt idx="6">
                  <c:v>1.103118215564475</c:v>
                </c:pt>
                <c:pt idx="7">
                  <c:v>1.1069841529524693</c:v>
                </c:pt>
                <c:pt idx="8">
                  <c:v>1.1050526720725755</c:v>
                </c:pt>
                <c:pt idx="9">
                  <c:v>1.1036258333674613</c:v>
                </c:pt>
                <c:pt idx="10">
                  <c:v>1.1034163798221228</c:v>
                </c:pt>
                <c:pt idx="11">
                  <c:v>1.0993926570885022</c:v>
                </c:pt>
                <c:pt idx="12">
                  <c:v>1.0980812370920625</c:v>
                </c:pt>
                <c:pt idx="13">
                  <c:v>1.0966649196939695</c:v>
                </c:pt>
                <c:pt idx="14">
                  <c:v>1.0964057008639108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31936"/>
        <c:axId val="150873216"/>
      </c:lineChart>
      <c:catAx>
        <c:axId val="171031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50873216"/>
        <c:crosses val="autoZero"/>
        <c:auto val="1"/>
        <c:lblAlgn val="ctr"/>
        <c:lblOffset val="100"/>
        <c:noMultiLvlLbl val="0"/>
      </c:catAx>
      <c:valAx>
        <c:axId val="15087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031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'000962'!$B$3:$B$9</c:f>
              <c:numCache>
                <c:formatCode>General</c:formatCode>
                <c:ptCount val="7"/>
                <c:pt idx="0">
                  <c:v>0.84699999999999998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'000962'!$H$3:$H$9</c:f>
              <c:numCache>
                <c:formatCode>General</c:formatCode>
                <c:ptCount val="7"/>
                <c:pt idx="0">
                  <c:v>0.84575016191692765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39904"/>
        <c:axId val="150941696"/>
      </c:lineChart>
      <c:catAx>
        <c:axId val="15093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0941696"/>
        <c:crosses val="autoZero"/>
        <c:auto val="1"/>
        <c:lblAlgn val="ctr"/>
        <c:lblOffset val="100"/>
        <c:noMultiLvlLbl val="0"/>
      </c:catAx>
      <c:valAx>
        <c:axId val="15094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939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'001593-2'!$B$2:$B$3</c:f>
              <c:numCache>
                <c:formatCode>General</c:formatCode>
                <c:ptCount val="2"/>
                <c:pt idx="0">
                  <c:v>0.59389999999999998</c:v>
                </c:pt>
                <c:pt idx="1">
                  <c:v>0.59389999999999998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'001593-2'!$H$2:$H$3</c:f>
              <c:numCache>
                <c:formatCode>General</c:formatCode>
                <c:ptCount val="2"/>
                <c:pt idx="0">
                  <c:v>0.58691047701126076</c:v>
                </c:pt>
                <c:pt idx="1">
                  <c:v>0.58690404182318634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97632"/>
        <c:axId val="151007616"/>
      </c:lineChart>
      <c:catAx>
        <c:axId val="15099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51007616"/>
        <c:crosses val="autoZero"/>
        <c:auto val="1"/>
        <c:lblAlgn val="ctr"/>
        <c:lblOffset val="100"/>
        <c:noMultiLvlLbl val="0"/>
      </c:catAx>
      <c:valAx>
        <c:axId val="15100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997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14851111236992E-2"/>
          <c:y val="2.1872830412327491E-2"/>
          <c:w val="0.90677945345984801"/>
          <c:h val="0.8356524138639150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suggest!$D$2:$D$41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suggest!$F$2:$F$41</c:f>
              <c:numCache>
                <c:formatCode>General</c:formatCode>
                <c:ptCount val="40"/>
                <c:pt idx="0">
                  <c:v>-7.3101271226416742E-2</c:v>
                </c:pt>
                <c:pt idx="1">
                  <c:v>-0.13283195526340164</c:v>
                </c:pt>
                <c:pt idx="2">
                  <c:v>-0.18255300521483608</c:v>
                </c:pt>
                <c:pt idx="3">
                  <c:v>-0.22458600907006021</c:v>
                </c:pt>
                <c:pt idx="4">
                  <c:v>-0.26058613267132547</c:v>
                </c:pt>
                <c:pt idx="5">
                  <c:v>-0.29176523262354204</c:v>
                </c:pt>
                <c:pt idx="6">
                  <c:v>-0.31903095867399367</c:v>
                </c:pt>
                <c:pt idx="7">
                  <c:v>-0.34307657164698302</c:v>
                </c:pt>
                <c:pt idx="8">
                  <c:v>-0.36444071295594904</c:v>
                </c:pt>
                <c:pt idx="9">
                  <c:v>-0.38354823437890539</c:v>
                </c:pt>
                <c:pt idx="10">
                  <c:v>-0.40073873873988086</c:v>
                </c:pt>
                <c:pt idx="11">
                  <c:v>-0.41628694065042326</c:v>
                </c:pt>
                <c:pt idx="12">
                  <c:v>-0.43041745777487872</c:v>
                </c:pt>
                <c:pt idx="13">
                  <c:v>-0.443315732508065</c:v>
                </c:pt>
                <c:pt idx="14">
                  <c:v>-0.4551362157775074</c:v>
                </c:pt>
                <c:pt idx="15">
                  <c:v>-0.4660085815844095</c:v>
                </c:pt>
                <c:pt idx="16">
                  <c:v>-0.47604250380549606</c:v>
                </c:pt>
                <c:pt idx="17">
                  <c:v>-0.48533136890758222</c:v>
                </c:pt>
                <c:pt idx="18">
                  <c:v>-0.49395519121857578</c:v>
                </c:pt>
                <c:pt idx="19">
                  <c:v>-0.50198292367698016</c:v>
                </c:pt>
                <c:pt idx="20">
                  <c:v>-0.50947430542191974</c:v>
                </c:pt>
                <c:pt idx="21">
                  <c:v>-0.51648135102992931</c:v>
                </c:pt>
                <c:pt idx="22">
                  <c:v>-0.52304955994805225</c:v>
                </c:pt>
                <c:pt idx="23">
                  <c:v>-0.52921890559380902</c:v>
                </c:pt>
                <c:pt idx="24">
                  <c:v>-0.5350246495717248</c:v>
                </c:pt>
                <c:pt idx="25">
                  <c:v>-0.54049801604899583</c:v>
                </c:pt>
                <c:pt idx="26">
                  <c:v>-0.54566675353044936</c:v>
                </c:pt>
                <c:pt idx="27">
                  <c:v>-0.55055560537397019</c:v>
                </c:pt>
                <c:pt idx="28">
                  <c:v>-0.55518670588582397</c:v>
                </c:pt>
                <c:pt idx="29">
                  <c:v>-0.55957991537590734</c:v>
                </c:pt>
                <c:pt idx="30">
                  <c:v>-0.56375310487262187</c:v>
                </c:pt>
                <c:pt idx="31">
                  <c:v>-0.56772239910550804</c:v>
                </c:pt>
                <c:pt idx="32">
                  <c:v>-0.5715023847219447</c:v>
                </c:pt>
                <c:pt idx="33">
                  <c:v>-0.57510628940627972</c:v>
                </c:pt>
                <c:pt idx="34">
                  <c:v>-0.57854613653708364</c:v>
                </c:pt>
                <c:pt idx="35">
                  <c:v>-0.58183287919362225</c:v>
                </c:pt>
                <c:pt idx="36">
                  <c:v>-0.58497651665820882</c:v>
                </c:pt>
                <c:pt idx="37">
                  <c:v>-0.5879861960253252</c:v>
                </c:pt>
                <c:pt idx="38">
                  <c:v>-0.59087030109219452</c:v>
                </c:pt>
                <c:pt idx="39">
                  <c:v>-0.5936365303503055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94784"/>
        <c:axId val="171096320"/>
      </c:scatterChart>
      <c:valAx>
        <c:axId val="17109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096320"/>
        <c:crosses val="autoZero"/>
        <c:crossBetween val="midCat"/>
      </c:valAx>
      <c:valAx>
        <c:axId val="171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094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75998833479148"/>
          <c:y val="0.9262771015857062"/>
          <c:w val="8.0680073264223273E-2"/>
          <c:h val="6.481330962661925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694764</xdr:colOff>
      <xdr:row>15</xdr:row>
      <xdr:rowOff>197224</xdr:rowOff>
    </xdr:from>
    <xdr:to>
      <xdr:col>15</xdr:col>
      <xdr:colOff>112059</xdr:colOff>
      <xdr:row>29</xdr:row>
      <xdr:rowOff>116541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694764</xdr:colOff>
      <xdr:row>15</xdr:row>
      <xdr:rowOff>197224</xdr:rowOff>
    </xdr:from>
    <xdr:to>
      <xdr:col>15</xdr:col>
      <xdr:colOff>112059</xdr:colOff>
      <xdr:row>29</xdr:row>
      <xdr:rowOff>116541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672353</xdr:colOff>
      <xdr:row>15</xdr:row>
      <xdr:rowOff>197224</xdr:rowOff>
    </xdr:from>
    <xdr:to>
      <xdr:col>15</xdr:col>
      <xdr:colOff>235323</xdr:colOff>
      <xdr:row>29</xdr:row>
      <xdr:rowOff>116541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750792</xdr:colOff>
      <xdr:row>4</xdr:row>
      <xdr:rowOff>159683</xdr:rowOff>
    </xdr:from>
    <xdr:to>
      <xdr:col>15</xdr:col>
      <xdr:colOff>11205</xdr:colOff>
      <xdr:row>21</xdr:row>
      <xdr:rowOff>44825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7"/>
  <sheetViews>
    <sheetView zoomScale="85" zoomScaleNormal="85" workbookViewId="0">
      <selection activeCell="H24" sqref="H24"/>
    </sheetView>
  </sheetViews>
  <sheetFormatPr defaultColWidth="9" defaultRowHeight="15.75"/>
  <cols>
    <col min="1" max="1" width="12.44140625" style="1" customWidth="1"/>
    <col min="2" max="2" width="8.44140625" style="2" customWidth="1"/>
    <col min="3" max="3" width="5.44140625" style="2" customWidth="1"/>
    <col min="4" max="4" width="9.2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6" width="16.88671875" style="2" customWidth="1"/>
    <col min="17" max="16384" width="9" style="2"/>
  </cols>
  <sheetData>
    <row r="1" spans="1:23">
      <c r="A1" s="1" t="s">
        <v>0</v>
      </c>
      <c r="B1" s="2" t="s">
        <v>1</v>
      </c>
      <c r="C1" s="2" t="s">
        <v>2</v>
      </c>
      <c r="D1" s="2" t="s">
        <v>15</v>
      </c>
      <c r="E1" s="2" t="s">
        <v>3</v>
      </c>
      <c r="F1" s="2" t="s">
        <v>27</v>
      </c>
      <c r="G1" s="2" t="s">
        <v>12</v>
      </c>
      <c r="H1" s="2" t="s">
        <v>13</v>
      </c>
      <c r="I1" s="2" t="s">
        <v>14</v>
      </c>
      <c r="J1" s="2"/>
      <c r="O1" s="1" t="s">
        <v>0</v>
      </c>
      <c r="P1" s="2" t="s">
        <v>1</v>
      </c>
      <c r="Q1" s="2" t="s">
        <v>2</v>
      </c>
      <c r="R1" s="2" t="s">
        <v>15</v>
      </c>
      <c r="S1" s="2" t="s">
        <v>3</v>
      </c>
      <c r="T1" s="2" t="s">
        <v>11</v>
      </c>
      <c r="U1" s="2" t="s">
        <v>12</v>
      </c>
      <c r="V1" s="2" t="s">
        <v>13</v>
      </c>
      <c r="W1" s="2" t="s">
        <v>14</v>
      </c>
    </row>
    <row r="2" spans="1:23">
      <c r="A2" s="1" t="s">
        <v>47</v>
      </c>
      <c r="B2" s="2">
        <v>0.59389999999999998</v>
      </c>
      <c r="C2" s="2">
        <v>300</v>
      </c>
      <c r="D2" s="2">
        <f t="shared" ref="D2:D9" si="0">C2</f>
        <v>300</v>
      </c>
      <c r="E2" s="2">
        <v>510.04364065489602</v>
      </c>
      <c r="F2" s="2">
        <f>C2+0</f>
        <v>300</v>
      </c>
      <c r="G2" s="2">
        <v>510.04364065489602</v>
      </c>
      <c r="H2" s="2">
        <v>0.58817159802695584</v>
      </c>
      <c r="I2" s="6">
        <f>B2/H2-1</f>
        <v>9.739337962357153E-3</v>
      </c>
      <c r="O2" s="1" t="s">
        <v>4</v>
      </c>
      <c r="P2" s="2">
        <v>0.59440000000000004</v>
      </c>
      <c r="Q2" s="2">
        <v>0</v>
      </c>
      <c r="R2" s="2">
        <f t="shared" ref="R2:R16" si="1">Q2</f>
        <v>0</v>
      </c>
      <c r="S2" s="2">
        <f>Q2/P2</f>
        <v>0</v>
      </c>
      <c r="T2" s="2">
        <f>Q2+0</f>
        <v>0</v>
      </c>
      <c r="U2" s="2">
        <f>S2</f>
        <v>0</v>
      </c>
      <c r="V2" s="2">
        <v>0</v>
      </c>
      <c r="W2" s="2">
        <v>0</v>
      </c>
    </row>
    <row r="3" spans="1:23">
      <c r="A3" s="1" t="s">
        <v>49</v>
      </c>
      <c r="B3" s="2">
        <v>0.59389999999999998</v>
      </c>
      <c r="C3" s="2">
        <v>0</v>
      </c>
      <c r="D3" s="2">
        <f t="shared" si="0"/>
        <v>0</v>
      </c>
      <c r="E3" s="2">
        <f t="shared" ref="E3:E8" si="2">D3/B3</f>
        <v>0</v>
      </c>
      <c r="F3" s="2">
        <f t="shared" ref="F3:F8" si="3">C3+F2</f>
        <v>300</v>
      </c>
      <c r="G3" s="2">
        <f t="shared" ref="G3:G8" si="4">G2+E3</f>
        <v>510.04364065489602</v>
      </c>
      <c r="H3" s="2">
        <f t="shared" ref="H3:H8" si="5">F3/G3</f>
        <v>0.58818496318236613</v>
      </c>
      <c r="I3" s="6">
        <f>B3/H3-1</f>
        <v>9.7163939498090546E-3</v>
      </c>
      <c r="O3" s="1" t="s">
        <v>5</v>
      </c>
      <c r="P3" s="2">
        <v>0.5978</v>
      </c>
      <c r="Q3" s="2">
        <v>10</v>
      </c>
      <c r="R3" s="2">
        <f t="shared" si="1"/>
        <v>10</v>
      </c>
      <c r="S3" s="2">
        <f t="shared" ref="S3:S16" si="6">R3/P3</f>
        <v>16.728002676480429</v>
      </c>
      <c r="T3" s="2">
        <f t="shared" ref="T3:T16" si="7">Q3+T2</f>
        <v>10</v>
      </c>
      <c r="U3" s="2">
        <f t="shared" ref="U3:U16" si="8">U2+S3</f>
        <v>16.728002676480429</v>
      </c>
      <c r="V3" s="2">
        <f t="shared" ref="V3:V16" si="9">T3/U3</f>
        <v>0.5978</v>
      </c>
      <c r="W3" s="6">
        <f>P3/V3-1</f>
        <v>0</v>
      </c>
    </row>
    <row r="4" spans="1:23">
      <c r="I4" s="6"/>
      <c r="O4" s="1" t="s">
        <v>6</v>
      </c>
      <c r="P4" s="2">
        <v>0.58940000000000003</v>
      </c>
      <c r="Q4" s="2">
        <v>10</v>
      </c>
      <c r="R4" s="2">
        <f t="shared" si="1"/>
        <v>10</v>
      </c>
      <c r="S4" s="2">
        <f t="shared" si="6"/>
        <v>16.9664065151001</v>
      </c>
      <c r="T4" s="2">
        <f t="shared" si="7"/>
        <v>20</v>
      </c>
      <c r="U4" s="2">
        <f t="shared" si="8"/>
        <v>33.694409191580533</v>
      </c>
      <c r="V4" s="2">
        <f t="shared" si="9"/>
        <v>0.59357028301886783</v>
      </c>
      <c r="W4" s="6">
        <f t="shared" ref="W4:W16" si="10">P4/V4-1</f>
        <v>-7.0257611241215656E-3</v>
      </c>
    </row>
    <row r="5" spans="1:23">
      <c r="I5" s="6"/>
      <c r="O5" s="1" t="s">
        <v>7</v>
      </c>
      <c r="P5" s="2">
        <v>0.58479999999999999</v>
      </c>
      <c r="Q5" s="2">
        <v>10</v>
      </c>
      <c r="R5" s="2">
        <f t="shared" si="1"/>
        <v>10</v>
      </c>
      <c r="S5" s="2">
        <f t="shared" si="6"/>
        <v>17.09986320109439</v>
      </c>
      <c r="T5" s="2">
        <f t="shared" si="7"/>
        <v>30</v>
      </c>
      <c r="U5" s="2">
        <f t="shared" si="8"/>
        <v>50.794272392674927</v>
      </c>
      <c r="V5" s="2">
        <f t="shared" si="9"/>
        <v>0.5906177721787057</v>
      </c>
      <c r="W5" s="6">
        <f t="shared" si="10"/>
        <v>-9.8503168254567841E-3</v>
      </c>
    </row>
    <row r="6" spans="1:23">
      <c r="I6" s="6"/>
      <c r="O6" s="1" t="s">
        <v>8</v>
      </c>
      <c r="P6" s="2">
        <v>0.60899999999999999</v>
      </c>
      <c r="Q6" s="2">
        <v>10</v>
      </c>
      <c r="R6" s="2">
        <f t="shared" si="1"/>
        <v>10</v>
      </c>
      <c r="S6" s="2">
        <f t="shared" si="6"/>
        <v>16.420361247947454</v>
      </c>
      <c r="T6" s="2">
        <f t="shared" si="7"/>
        <v>40</v>
      </c>
      <c r="U6" s="2">
        <f t="shared" si="8"/>
        <v>67.214633640622381</v>
      </c>
      <c r="V6" s="2">
        <f t="shared" si="9"/>
        <v>0.59510850291721706</v>
      </c>
      <c r="W6" s="6">
        <f t="shared" si="10"/>
        <v>2.3342797178475649E-2</v>
      </c>
    </row>
    <row r="7" spans="1:23">
      <c r="I7" s="6"/>
      <c r="O7" s="1" t="s">
        <v>9</v>
      </c>
      <c r="P7" s="2">
        <v>0.59730000000000005</v>
      </c>
      <c r="Q7" s="2">
        <v>30</v>
      </c>
      <c r="R7" s="2">
        <f t="shared" si="1"/>
        <v>30</v>
      </c>
      <c r="S7" s="2">
        <f t="shared" si="6"/>
        <v>50.2260170768458</v>
      </c>
      <c r="T7" s="2">
        <f t="shared" si="7"/>
        <v>70</v>
      </c>
      <c r="U7" s="2">
        <f t="shared" si="8"/>
        <v>117.44065071746817</v>
      </c>
      <c r="V7" s="2">
        <f t="shared" si="9"/>
        <v>0.59604574372124264</v>
      </c>
      <c r="W7" s="6">
        <f t="shared" si="10"/>
        <v>2.104295336339046E-3</v>
      </c>
    </row>
    <row r="8" spans="1:23">
      <c r="I8" s="6"/>
      <c r="O8" s="1" t="s">
        <v>10</v>
      </c>
      <c r="P8" s="2">
        <v>0.59419999999999995</v>
      </c>
      <c r="Q8" s="2">
        <v>10</v>
      </c>
      <c r="R8" s="2">
        <f t="shared" si="1"/>
        <v>10</v>
      </c>
      <c r="S8" s="2">
        <f t="shared" si="6"/>
        <v>16.82935038707506</v>
      </c>
      <c r="T8" s="2">
        <f t="shared" si="7"/>
        <v>80</v>
      </c>
      <c r="U8" s="2">
        <f t="shared" si="8"/>
        <v>134.27000110454324</v>
      </c>
      <c r="V8" s="2">
        <f t="shared" si="9"/>
        <v>0.59581439891187338</v>
      </c>
      <c r="W8" s="6">
        <f t="shared" si="10"/>
        <v>-2.7095667960052028E-3</v>
      </c>
    </row>
    <row r="9" spans="1:23">
      <c r="I9" s="6"/>
      <c r="O9" s="1" t="s">
        <v>18</v>
      </c>
      <c r="P9" s="2">
        <v>0.6069</v>
      </c>
      <c r="Q9" s="2">
        <v>10</v>
      </c>
      <c r="R9" s="2">
        <f t="shared" si="1"/>
        <v>10</v>
      </c>
      <c r="S9" s="2">
        <f t="shared" si="6"/>
        <v>16.477179106936891</v>
      </c>
      <c r="T9" s="2">
        <f t="shared" si="7"/>
        <v>90</v>
      </c>
      <c r="U9" s="2">
        <f t="shared" si="8"/>
        <v>150.74718021148013</v>
      </c>
      <c r="V9" s="2">
        <f t="shared" si="9"/>
        <v>0.59702609278489216</v>
      </c>
      <c r="W9" s="6">
        <f t="shared" si="10"/>
        <v>1.6538485226081034E-2</v>
      </c>
    </row>
    <row r="10" spans="1:23">
      <c r="I10" s="6"/>
      <c r="K10" s="4" t="s">
        <v>31</v>
      </c>
      <c r="L10" s="4" t="s">
        <v>30</v>
      </c>
      <c r="M10" s="5"/>
      <c r="O10" s="1" t="s">
        <v>35</v>
      </c>
      <c r="P10" s="2">
        <v>0.6089</v>
      </c>
      <c r="Q10" s="2">
        <v>10</v>
      </c>
      <c r="R10" s="2">
        <f t="shared" si="1"/>
        <v>10</v>
      </c>
      <c r="S10" s="2">
        <f t="shared" si="6"/>
        <v>16.423057973394645</v>
      </c>
      <c r="T10" s="2">
        <f t="shared" si="7"/>
        <v>100</v>
      </c>
      <c r="U10" s="2">
        <f t="shared" si="8"/>
        <v>167.17023818487476</v>
      </c>
      <c r="V10" s="2">
        <f t="shared" si="9"/>
        <v>0.59819260345498393</v>
      </c>
      <c r="W10" s="6">
        <f t="shared" si="10"/>
        <v>1.7899580307702445E-2</v>
      </c>
    </row>
    <row r="11" spans="1:23">
      <c r="I11" s="6"/>
      <c r="K11" s="7">
        <v>3.3399999999999999E-2</v>
      </c>
      <c r="L11" s="8">
        <f>NumOfACol($B:$B)-1</f>
        <v>2</v>
      </c>
      <c r="M11" s="9"/>
      <c r="O11" s="1" t="s">
        <v>37</v>
      </c>
      <c r="P11" s="2">
        <v>0.58789999999999998</v>
      </c>
      <c r="Q11" s="2">
        <v>80</v>
      </c>
      <c r="R11" s="2">
        <f t="shared" si="1"/>
        <v>80</v>
      </c>
      <c r="S11" s="2">
        <f t="shared" si="6"/>
        <v>136.07756421160062</v>
      </c>
      <c r="T11" s="2">
        <f t="shared" si="7"/>
        <v>180</v>
      </c>
      <c r="U11" s="2">
        <f t="shared" si="8"/>
        <v>303.24780239647538</v>
      </c>
      <c r="V11" s="2">
        <f t="shared" si="9"/>
        <v>0.59357396352921477</v>
      </c>
      <c r="W11" s="6">
        <f t="shared" si="10"/>
        <v>-9.5589831728452035E-3</v>
      </c>
    </row>
    <row r="12" spans="1:23">
      <c r="I12" s="6"/>
      <c r="K12" s="4" t="s">
        <v>36</v>
      </c>
      <c r="L12" s="8" t="s">
        <v>33</v>
      </c>
      <c r="M12" s="8" t="s">
        <v>34</v>
      </c>
      <c r="O12" s="1" t="s">
        <v>38</v>
      </c>
      <c r="P12" s="2">
        <v>0.58440000000000003</v>
      </c>
      <c r="Q12" s="2">
        <v>10</v>
      </c>
      <c r="R12" s="2">
        <f t="shared" si="1"/>
        <v>10</v>
      </c>
      <c r="S12" s="2">
        <f t="shared" si="6"/>
        <v>17.111567419575632</v>
      </c>
      <c r="T12" s="2">
        <f t="shared" si="7"/>
        <v>190</v>
      </c>
      <c r="U12" s="2">
        <f t="shared" si="8"/>
        <v>320.35936981605101</v>
      </c>
      <c r="V12" s="2">
        <f t="shared" si="9"/>
        <v>0.59308394853285296</v>
      </c>
      <c r="W12" s="6">
        <f t="shared" si="10"/>
        <v>-1.4642022523683074E-2</v>
      </c>
    </row>
    <row r="13" spans="1:23">
      <c r="I13" s="6"/>
      <c r="K13" s="10">
        <f ca="1">M13/K15-1</f>
        <v>9.7163939498090546E-3</v>
      </c>
      <c r="L13" s="10">
        <f ca="1">M15/K15-1</f>
        <v>4.3440921507732932E-2</v>
      </c>
      <c r="M13" s="11">
        <f ca="1">OFFSET($B$1,L11,0)</f>
        <v>0.59389999999999998</v>
      </c>
      <c r="O13" s="1" t="s">
        <v>39</v>
      </c>
      <c r="P13" s="2">
        <v>0.59340000000000004</v>
      </c>
      <c r="Q13" s="2">
        <v>10</v>
      </c>
      <c r="R13" s="2">
        <f t="shared" si="1"/>
        <v>10</v>
      </c>
      <c r="S13" s="2">
        <f t="shared" si="6"/>
        <v>16.852039096730703</v>
      </c>
      <c r="T13" s="2">
        <f t="shared" si="7"/>
        <v>200</v>
      </c>
      <c r="U13" s="2">
        <f t="shared" si="8"/>
        <v>337.21140891278174</v>
      </c>
      <c r="V13" s="2">
        <f t="shared" si="9"/>
        <v>0.59309974311020164</v>
      </c>
      <c r="W13" s="6">
        <f t="shared" si="10"/>
        <v>5.0625024422346065E-4</v>
      </c>
    </row>
    <row r="14" spans="1:23">
      <c r="I14" s="6"/>
      <c r="K14" s="8" t="s">
        <v>28</v>
      </c>
      <c r="L14" s="8" t="s">
        <v>29</v>
      </c>
      <c r="M14" s="8" t="s">
        <v>26</v>
      </c>
      <c r="O14" s="1" t="s">
        <v>40</v>
      </c>
      <c r="P14" s="2">
        <v>0.59160000000000001</v>
      </c>
      <c r="Q14" s="2">
        <v>100</v>
      </c>
      <c r="R14" s="2">
        <f t="shared" si="1"/>
        <v>100</v>
      </c>
      <c r="S14" s="2">
        <f t="shared" si="6"/>
        <v>169.03313049357675</v>
      </c>
      <c r="T14" s="2">
        <f t="shared" si="7"/>
        <v>300</v>
      </c>
      <c r="U14" s="2">
        <f t="shared" si="8"/>
        <v>506.24453940635851</v>
      </c>
      <c r="V14" s="2">
        <f t="shared" si="9"/>
        <v>0.59259898457727833</v>
      </c>
      <c r="W14" s="6">
        <f t="shared" si="10"/>
        <v>-1.6857682906610272E-3</v>
      </c>
    </row>
    <row r="15" spans="1:23">
      <c r="I15" s="6"/>
      <c r="K15" s="12">
        <f ca="1">OFFSET($H$1,L11,0)</f>
        <v>0.58818496318236613</v>
      </c>
      <c r="L15" s="12">
        <f ca="1">OFFSET($F$1,L11,0)</f>
        <v>300</v>
      </c>
      <c r="M15" s="12">
        <f ca="1">M13*(1+K11)</f>
        <v>0.61373626000000003</v>
      </c>
      <c r="O15" s="1" t="s">
        <v>43</v>
      </c>
      <c r="P15" s="2">
        <v>0.5776</v>
      </c>
      <c r="Q15" s="2">
        <v>20</v>
      </c>
      <c r="R15" s="2">
        <f t="shared" si="1"/>
        <v>20</v>
      </c>
      <c r="S15" s="2">
        <f t="shared" si="6"/>
        <v>34.626038781163437</v>
      </c>
      <c r="T15" s="2">
        <f t="shared" si="7"/>
        <v>320</v>
      </c>
      <c r="U15" s="2">
        <f t="shared" si="8"/>
        <v>540.87057818752191</v>
      </c>
      <c r="V15" s="2">
        <f t="shared" si="9"/>
        <v>0.59163876332917253</v>
      </c>
      <c r="W15" s="6">
        <f t="shared" si="10"/>
        <v>-2.3728606371522853E-2</v>
      </c>
    </row>
    <row r="16" spans="1:23">
      <c r="I16" s="6"/>
      <c r="O16" s="1" t="s">
        <v>46</v>
      </c>
      <c r="P16" s="2">
        <v>0.57469999999999999</v>
      </c>
      <c r="Q16" s="2">
        <v>80</v>
      </c>
      <c r="R16" s="2">
        <f t="shared" si="1"/>
        <v>80</v>
      </c>
      <c r="S16" s="2">
        <f t="shared" si="6"/>
        <v>139.20306246737428</v>
      </c>
      <c r="T16" s="2">
        <f t="shared" si="7"/>
        <v>400</v>
      </c>
      <c r="U16" s="2">
        <f t="shared" si="8"/>
        <v>680.07364065489617</v>
      </c>
      <c r="V16" s="2">
        <f t="shared" si="9"/>
        <v>0.58817159802695584</v>
      </c>
      <c r="W16" s="6">
        <f t="shared" si="10"/>
        <v>-2.2904196789077957E-2</v>
      </c>
    </row>
    <row r="17" spans="9:21">
      <c r="I17" s="6"/>
      <c r="U17" s="2">
        <v>-170.03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7"/>
  <sheetViews>
    <sheetView zoomScale="85" zoomScaleNormal="85" workbookViewId="0">
      <selection activeCell="J17" sqref="J17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4.21875" style="2" customWidth="1"/>
    <col min="12" max="12" width="15" style="2" customWidth="1"/>
    <col min="13" max="13" width="12.77734375" style="2" customWidth="1"/>
    <col min="14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16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4</v>
      </c>
      <c r="B2" s="2">
        <v>1.1043000000000001</v>
      </c>
      <c r="C2" s="2">
        <v>0</v>
      </c>
      <c r="D2" s="2">
        <f>C2*0.999</f>
        <v>0</v>
      </c>
      <c r="E2" s="2">
        <f>D2/B2</f>
        <v>0</v>
      </c>
      <c r="F2" s="2">
        <f>C2+0</f>
        <v>0</v>
      </c>
      <c r="G2" s="2">
        <f>E2</f>
        <v>0</v>
      </c>
      <c r="H2" s="2">
        <v>0</v>
      </c>
      <c r="I2" s="6" t="e">
        <f>B2/H2-1</f>
        <v>#DIV/0!</v>
      </c>
    </row>
    <row r="3" spans="1:13">
      <c r="A3" s="1" t="s">
        <v>5</v>
      </c>
      <c r="B3" s="2">
        <v>1.1145</v>
      </c>
      <c r="C3" s="2">
        <v>10</v>
      </c>
      <c r="D3" s="2">
        <f t="shared" ref="D3" si="0">C3*0.999</f>
        <v>9.99</v>
      </c>
      <c r="E3" s="2">
        <f t="shared" ref="E3" si="1">D3/B3</f>
        <v>8.9636608344549131</v>
      </c>
      <c r="F3" s="2">
        <f t="shared" ref="F3" si="2">C3+F2</f>
        <v>10</v>
      </c>
      <c r="G3" s="2">
        <f t="shared" ref="G3" si="3">G2+E3</f>
        <v>8.9636608344549131</v>
      </c>
      <c r="H3" s="2">
        <f t="shared" ref="H3" si="4">F3/G3</f>
        <v>1.1156156156156156</v>
      </c>
      <c r="I3" s="6">
        <f>B3/H3-1</f>
        <v>-1.0000000000000009E-3</v>
      </c>
      <c r="K3" s="4" t="s">
        <v>31</v>
      </c>
      <c r="L3" s="4" t="s">
        <v>30</v>
      </c>
      <c r="M3" s="5"/>
    </row>
    <row r="4" spans="1:13">
      <c r="A4" s="1" t="s">
        <v>6</v>
      </c>
      <c r="B4" s="2">
        <v>1.0996999999999999</v>
      </c>
      <c r="C4" s="2">
        <v>0</v>
      </c>
      <c r="D4" s="2">
        <f t="shared" ref="D4:D17" si="5">C4*0.999</f>
        <v>0</v>
      </c>
      <c r="E4" s="2">
        <f t="shared" ref="E4:E14" si="6">D4/B4</f>
        <v>0</v>
      </c>
      <c r="F4" s="2">
        <f t="shared" ref="F4:F13" si="7">C4+F3</f>
        <v>10</v>
      </c>
      <c r="G4" s="2">
        <f t="shared" ref="G4:G13" si="8">G3+E4</f>
        <v>8.9636608344549131</v>
      </c>
      <c r="H4" s="2">
        <f t="shared" ref="H4:H13" si="9">F4/G4</f>
        <v>1.1156156156156156</v>
      </c>
      <c r="I4" s="6">
        <f t="shared" ref="I4:I13" si="10">B4/H4-1</f>
        <v>-1.4266218034993394E-2</v>
      </c>
      <c r="K4" s="7">
        <v>1.2800000000000001E-2</v>
      </c>
      <c r="L4" s="8">
        <f>NumOfACol($B:$B)-1</f>
        <v>16</v>
      </c>
      <c r="M4" s="9"/>
    </row>
    <row r="5" spans="1:13">
      <c r="A5" s="1" t="s">
        <v>7</v>
      </c>
      <c r="B5" s="2">
        <v>1.0806</v>
      </c>
      <c r="C5" s="2">
        <v>0</v>
      </c>
      <c r="D5" s="2">
        <f t="shared" si="5"/>
        <v>0</v>
      </c>
      <c r="E5" s="2">
        <f t="shared" si="6"/>
        <v>0</v>
      </c>
      <c r="F5" s="2">
        <f t="shared" si="7"/>
        <v>10</v>
      </c>
      <c r="G5" s="2">
        <f t="shared" si="8"/>
        <v>8.9636608344549131</v>
      </c>
      <c r="H5" s="2">
        <f t="shared" si="9"/>
        <v>1.1156156156156156</v>
      </c>
      <c r="I5" s="6">
        <f t="shared" si="10"/>
        <v>-3.1386810228802187E-2</v>
      </c>
      <c r="K5" s="4" t="s">
        <v>32</v>
      </c>
      <c r="L5" s="8" t="s">
        <v>33</v>
      </c>
      <c r="M5" s="8" t="s">
        <v>34</v>
      </c>
    </row>
    <row r="6" spans="1:13">
      <c r="A6" s="1" t="s">
        <v>8</v>
      </c>
      <c r="B6" s="2">
        <v>1.1174999999999999</v>
      </c>
      <c r="C6" s="2">
        <v>10</v>
      </c>
      <c r="D6" s="2">
        <f t="shared" si="5"/>
        <v>9.99</v>
      </c>
      <c r="E6" s="2">
        <f t="shared" si="6"/>
        <v>8.9395973154362416</v>
      </c>
      <c r="F6" s="2">
        <f t="shared" si="7"/>
        <v>20</v>
      </c>
      <c r="G6" s="2">
        <f t="shared" si="8"/>
        <v>17.903258149891155</v>
      </c>
      <c r="H6" s="2">
        <f t="shared" si="9"/>
        <v>1.1171150989699377</v>
      </c>
      <c r="I6" s="6">
        <f t="shared" si="10"/>
        <v>3.4454912516812541E-4</v>
      </c>
      <c r="K6" s="10">
        <f ca="1">M6/K8-1</f>
        <v>-2.6502059060996563E-3</v>
      </c>
      <c r="L6" s="10">
        <f ca="1">M8/K8-1</f>
        <v>1.0115871458302284E-2</v>
      </c>
      <c r="M6" s="11">
        <f ca="1">OFFSET($B$1,L4,0)</f>
        <v>1.0934999999999999</v>
      </c>
    </row>
    <row r="7" spans="1:13">
      <c r="A7" s="1" t="s">
        <v>9</v>
      </c>
      <c r="B7" s="2">
        <v>1.1001000000000001</v>
      </c>
      <c r="C7" s="2">
        <v>0</v>
      </c>
      <c r="D7" s="2">
        <f t="shared" si="5"/>
        <v>0</v>
      </c>
      <c r="E7" s="2">
        <f t="shared" si="6"/>
        <v>0</v>
      </c>
      <c r="F7" s="2">
        <f t="shared" si="7"/>
        <v>20</v>
      </c>
      <c r="G7" s="2">
        <f t="shared" si="8"/>
        <v>17.903258149891155</v>
      </c>
      <c r="H7" s="2">
        <f t="shared" si="9"/>
        <v>1.1171150989699377</v>
      </c>
      <c r="I7" s="6">
        <f t="shared" si="10"/>
        <v>-1.5231285465236999E-2</v>
      </c>
      <c r="K7" s="8" t="s">
        <v>28</v>
      </c>
      <c r="L7" s="8" t="s">
        <v>29</v>
      </c>
      <c r="M7" s="8" t="s">
        <v>26</v>
      </c>
    </row>
    <row r="8" spans="1:13">
      <c r="A8" s="1" t="s">
        <v>10</v>
      </c>
      <c r="B8" s="2">
        <v>1.0935999999999999</v>
      </c>
      <c r="C8" s="2">
        <v>50</v>
      </c>
      <c r="D8" s="2">
        <f t="shared" si="5"/>
        <v>49.95</v>
      </c>
      <c r="E8" s="2">
        <f t="shared" si="6"/>
        <v>45.674835405998543</v>
      </c>
      <c r="F8" s="2">
        <f t="shared" si="7"/>
        <v>70</v>
      </c>
      <c r="G8" s="2">
        <f t="shared" si="8"/>
        <v>63.578093555889694</v>
      </c>
      <c r="H8" s="2">
        <f t="shared" si="9"/>
        <v>1.1010081631099082</v>
      </c>
      <c r="I8" s="6">
        <f t="shared" si="10"/>
        <v>-6.7285269611291332E-3</v>
      </c>
      <c r="K8" s="12">
        <f ca="1">OFFSET($H$1,L4,0)</f>
        <v>1.0964057008639108</v>
      </c>
      <c r="L8" s="12">
        <f ca="1">OFFSET($F$1,L4,0)</f>
        <v>400</v>
      </c>
      <c r="M8" s="12">
        <f ca="1">M6*(1+K4)</f>
        <v>1.1074967999999998</v>
      </c>
    </row>
    <row r="9" spans="1:13">
      <c r="A9" s="1" t="s">
        <v>18</v>
      </c>
      <c r="B9" s="2">
        <v>1.117</v>
      </c>
      <c r="C9" s="2">
        <v>10</v>
      </c>
      <c r="D9" s="2">
        <f t="shared" si="5"/>
        <v>9.99</v>
      </c>
      <c r="E9" s="2">
        <f t="shared" si="6"/>
        <v>8.9435989256938235</v>
      </c>
      <c r="F9" s="2">
        <f t="shared" si="7"/>
        <v>80</v>
      </c>
      <c r="G9" s="2">
        <f t="shared" si="8"/>
        <v>72.521692481583514</v>
      </c>
      <c r="H9" s="2">
        <f t="shared" si="9"/>
        <v>1.103118215564475</v>
      </c>
      <c r="I9" s="6">
        <f t="shared" si="10"/>
        <v>1.2584131274109733E-2</v>
      </c>
    </row>
    <row r="10" spans="1:13">
      <c r="A10" s="1" t="s">
        <v>41</v>
      </c>
      <c r="B10" s="2">
        <v>1.1215999999999999</v>
      </c>
      <c r="C10" s="2">
        <v>20</v>
      </c>
      <c r="D10" s="2">
        <f t="shared" si="5"/>
        <v>19.98</v>
      </c>
      <c r="E10" s="2">
        <f t="shared" si="6"/>
        <v>17.81383737517832</v>
      </c>
      <c r="F10" s="2">
        <f t="shared" si="7"/>
        <v>100</v>
      </c>
      <c r="G10" s="2">
        <f t="shared" si="8"/>
        <v>90.335529856761838</v>
      </c>
      <c r="H10" s="2">
        <f t="shared" si="9"/>
        <v>1.1069841529524693</v>
      </c>
      <c r="I10" s="6">
        <f t="shared" si="10"/>
        <v>1.3203302873440625E-2</v>
      </c>
    </row>
    <row r="11" spans="1:13">
      <c r="A11" s="1" t="s">
        <v>42</v>
      </c>
      <c r="B11" s="2">
        <v>1.0944</v>
      </c>
      <c r="C11" s="2">
        <v>20</v>
      </c>
      <c r="D11" s="2">
        <f t="shared" si="5"/>
        <v>19.98</v>
      </c>
      <c r="E11" s="2">
        <f t="shared" si="6"/>
        <v>18.256578947368421</v>
      </c>
      <c r="F11" s="2">
        <f t="shared" si="7"/>
        <v>120</v>
      </c>
      <c r="G11" s="2">
        <f t="shared" si="8"/>
        <v>108.59210880413026</v>
      </c>
      <c r="H11" s="2">
        <f t="shared" si="9"/>
        <v>1.1050526720725755</v>
      </c>
      <c r="I11" s="6">
        <f t="shared" si="10"/>
        <v>-9.6399677063320199E-3</v>
      </c>
    </row>
    <row r="12" spans="1:13">
      <c r="A12" s="1" t="s">
        <v>38</v>
      </c>
      <c r="B12" s="2">
        <v>1.0857000000000001</v>
      </c>
      <c r="C12" s="2">
        <v>10</v>
      </c>
      <c r="D12" s="2">
        <f t="shared" si="5"/>
        <v>9.99</v>
      </c>
      <c r="E12" s="2">
        <f t="shared" si="6"/>
        <v>9.2014368610113291</v>
      </c>
      <c r="F12" s="2">
        <f t="shared" si="7"/>
        <v>130</v>
      </c>
      <c r="G12" s="2">
        <f t="shared" si="8"/>
        <v>117.79354566514159</v>
      </c>
      <c r="H12" s="2">
        <f t="shared" si="9"/>
        <v>1.1036258333674613</v>
      </c>
      <c r="I12" s="6">
        <f t="shared" si="10"/>
        <v>-1.6242672856582763E-2</v>
      </c>
    </row>
    <row r="13" spans="1:13">
      <c r="A13" s="1" t="s">
        <v>39</v>
      </c>
      <c r="B13" s="2">
        <v>1.0995999999999999</v>
      </c>
      <c r="C13" s="2">
        <v>10</v>
      </c>
      <c r="D13" s="2">
        <f t="shared" si="5"/>
        <v>9.99</v>
      </c>
      <c r="E13" s="2">
        <f t="shared" si="6"/>
        <v>9.0851218624954537</v>
      </c>
      <c r="F13" s="2">
        <f t="shared" si="7"/>
        <v>140</v>
      </c>
      <c r="G13" s="2">
        <f t="shared" si="8"/>
        <v>126.87866752763705</v>
      </c>
      <c r="H13" s="2">
        <f t="shared" si="9"/>
        <v>1.1034163798221228</v>
      </c>
      <c r="I13" s="6">
        <f t="shared" si="10"/>
        <v>-3.4586941900737189E-3</v>
      </c>
    </row>
    <row r="14" spans="1:13">
      <c r="A14" s="1" t="s">
        <v>40</v>
      </c>
      <c r="B14" s="2">
        <v>1.0948</v>
      </c>
      <c r="C14" s="2">
        <v>160</v>
      </c>
      <c r="D14" s="2">
        <f t="shared" si="5"/>
        <v>159.84</v>
      </c>
      <c r="E14" s="2">
        <f t="shared" si="6"/>
        <v>145.99926927292657</v>
      </c>
      <c r="F14" s="2">
        <f t="shared" ref="F14" si="11">C14+F13</f>
        <v>300</v>
      </c>
      <c r="G14" s="2">
        <f t="shared" ref="G14" si="12">G13+E14</f>
        <v>272.87793680056359</v>
      </c>
      <c r="H14" s="2">
        <f t="shared" ref="H14" si="13">F14/G14</f>
        <v>1.0993926570885022</v>
      </c>
      <c r="I14" s="6">
        <f t="shared" ref="I14" si="14">B14/H14-1</f>
        <v>-4.1774493024765436E-3</v>
      </c>
    </row>
    <row r="15" spans="1:13">
      <c r="A15" s="1" t="s">
        <v>43</v>
      </c>
      <c r="B15" s="2">
        <v>1.0777000000000001</v>
      </c>
      <c r="C15" s="2">
        <v>20</v>
      </c>
      <c r="D15" s="2">
        <f t="shared" si="5"/>
        <v>19.98</v>
      </c>
      <c r="E15" s="2">
        <f t="shared" ref="E15:E17" si="15">D15/B15</f>
        <v>18.539482230676438</v>
      </c>
      <c r="F15" s="2">
        <f t="shared" ref="F15:F16" si="16">C15+F14</f>
        <v>320</v>
      </c>
      <c r="G15" s="2">
        <f t="shared" ref="G15:G16" si="17">G14+E15</f>
        <v>291.41741903124</v>
      </c>
      <c r="H15" s="2">
        <f t="shared" ref="H15:H16" si="18">F15/G15</f>
        <v>1.0980812370920625</v>
      </c>
      <c r="I15" s="6">
        <f t="shared" ref="I15:I16" si="19">B15/H15-1</f>
        <v>-1.8560773468851877E-2</v>
      </c>
    </row>
    <row r="16" spans="1:13">
      <c r="A16" s="1" t="s">
        <v>44</v>
      </c>
      <c r="B16" s="2">
        <v>1.0807</v>
      </c>
      <c r="C16" s="2">
        <v>30</v>
      </c>
      <c r="D16" s="2">
        <f t="shared" si="5"/>
        <v>29.97</v>
      </c>
      <c r="E16" s="2">
        <f t="shared" si="15"/>
        <v>27.732025539002496</v>
      </c>
      <c r="F16" s="2">
        <f t="shared" si="16"/>
        <v>350</v>
      </c>
      <c r="G16" s="2">
        <f t="shared" si="17"/>
        <v>319.14944457024251</v>
      </c>
      <c r="H16" s="2">
        <f t="shared" si="18"/>
        <v>1.0966649196939695</v>
      </c>
      <c r="I16" s="6">
        <f t="shared" si="19"/>
        <v>-1.4557700722682587E-2</v>
      </c>
    </row>
    <row r="17" spans="1:9">
      <c r="A17" s="1" t="s">
        <v>45</v>
      </c>
      <c r="B17" s="2">
        <v>1.0934999999999999</v>
      </c>
      <c r="C17" s="2">
        <v>50</v>
      </c>
      <c r="D17" s="2">
        <f t="shared" si="5"/>
        <v>49.95</v>
      </c>
      <c r="E17" s="2">
        <f t="shared" si="15"/>
        <v>45.67901234567902</v>
      </c>
      <c r="F17" s="2">
        <f t="shared" ref="F17" si="20">C17+F16</f>
        <v>400</v>
      </c>
      <c r="G17" s="2">
        <f t="shared" ref="G17" si="21">G16+E17</f>
        <v>364.82845691592155</v>
      </c>
      <c r="H17" s="2">
        <f t="shared" ref="H17" si="22">F17/G17</f>
        <v>1.0964057008639108</v>
      </c>
      <c r="I17" s="6">
        <f t="shared" ref="I17" si="23">B17/H17-1</f>
        <v>-2.6502059060996563E-3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W10"/>
  <sheetViews>
    <sheetView zoomScale="85" zoomScaleNormal="85" workbookViewId="0">
      <selection activeCell="U14" sqref="U14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4.21875" style="2" customWidth="1"/>
    <col min="12" max="12" width="15" style="2" customWidth="1"/>
    <col min="13" max="13" width="12.77734375" style="2" customWidth="1"/>
    <col min="14" max="16384" width="9" style="2"/>
  </cols>
  <sheetData>
    <row r="1" spans="1:23">
      <c r="A1" s="1" t="s">
        <v>0</v>
      </c>
      <c r="B1" s="2" t="s">
        <v>1</v>
      </c>
      <c r="C1" s="2" t="s">
        <v>2</v>
      </c>
      <c r="D1" s="2" t="s">
        <v>16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  <c r="O1" s="1" t="s">
        <v>0</v>
      </c>
      <c r="P1" s="2" t="s">
        <v>1</v>
      </c>
      <c r="Q1" s="2" t="s">
        <v>2</v>
      </c>
      <c r="R1" s="2" t="s">
        <v>16</v>
      </c>
      <c r="S1" s="2" t="s">
        <v>3</v>
      </c>
      <c r="T1" s="2" t="s">
        <v>11</v>
      </c>
      <c r="U1" s="2" t="s">
        <v>12</v>
      </c>
      <c r="V1" s="2" t="s">
        <v>13</v>
      </c>
      <c r="W1" s="2" t="s">
        <v>14</v>
      </c>
    </row>
    <row r="2" spans="1:23">
      <c r="A2" s="1" t="s">
        <v>50</v>
      </c>
      <c r="B2" s="2">
        <v>0.84699999999999998</v>
      </c>
      <c r="C2" s="2">
        <v>300</v>
      </c>
      <c r="D2" s="2">
        <v>300</v>
      </c>
      <c r="E2" s="2">
        <v>354.71468231237179</v>
      </c>
      <c r="F2" s="2">
        <v>300</v>
      </c>
      <c r="G2" s="2">
        <v>354.71468231237179</v>
      </c>
      <c r="H2" s="2">
        <v>0.84571122928694875</v>
      </c>
      <c r="I2" s="6">
        <f>B2/H2-1</f>
        <v>1.523889796447131E-3</v>
      </c>
      <c r="O2" s="1" t="s">
        <v>18</v>
      </c>
      <c r="P2" s="2">
        <v>0.86229999999999996</v>
      </c>
      <c r="Q2" s="2">
        <v>0</v>
      </c>
      <c r="R2" s="2">
        <f>Q2*0.999</f>
        <v>0</v>
      </c>
      <c r="S2" s="2">
        <f>R2/P2</f>
        <v>0</v>
      </c>
      <c r="T2" s="2">
        <f>Q2+0</f>
        <v>0</v>
      </c>
      <c r="U2" s="2">
        <f>S2</f>
        <v>0</v>
      </c>
      <c r="V2" s="2">
        <v>0</v>
      </c>
      <c r="W2" s="6" t="e">
        <f>P2/V2-1</f>
        <v>#DIV/0!</v>
      </c>
    </row>
    <row r="3" spans="1:23">
      <c r="A3" s="1" t="s">
        <v>51</v>
      </c>
      <c r="B3" s="2">
        <v>0.84699999999999998</v>
      </c>
      <c r="C3" s="2">
        <v>0</v>
      </c>
      <c r="D3" s="2">
        <f t="shared" ref="D3" si="0">C3*0.999</f>
        <v>0</v>
      </c>
      <c r="E3" s="2">
        <f t="shared" ref="E3" si="1">D3/B3</f>
        <v>0</v>
      </c>
      <c r="F3" s="2">
        <f>C3+F2</f>
        <v>300</v>
      </c>
      <c r="G3" s="2">
        <f>G2+E3</f>
        <v>354.71468231237179</v>
      </c>
      <c r="H3" s="2">
        <f>F3/G3</f>
        <v>0.84575016191692765</v>
      </c>
      <c r="I3" s="6">
        <f>B3/H3-1</f>
        <v>1.477786395263081E-3</v>
      </c>
      <c r="K3" s="4" t="s">
        <v>31</v>
      </c>
      <c r="L3" s="4" t="s">
        <v>30</v>
      </c>
      <c r="M3" s="5"/>
      <c r="O3" s="1" t="s">
        <v>35</v>
      </c>
      <c r="P3" s="2">
        <v>0.86750000000000005</v>
      </c>
      <c r="Q3" s="2">
        <v>90</v>
      </c>
      <c r="R3" s="2">
        <f t="shared" ref="R3:R9" si="2">Q3*0.999</f>
        <v>89.91</v>
      </c>
      <c r="S3" s="2">
        <f t="shared" ref="S3:S9" si="3">R3/P3</f>
        <v>103.64265129682997</v>
      </c>
      <c r="T3" s="2">
        <f>Q3+T2</f>
        <v>90</v>
      </c>
      <c r="U3" s="2">
        <f>U2+S3</f>
        <v>103.64265129682997</v>
      </c>
      <c r="V3" s="2">
        <f>T3/U3</f>
        <v>0.86836836836836839</v>
      </c>
      <c r="W3" s="6">
        <f>P3/V3-1</f>
        <v>-1.0000000000000009E-3</v>
      </c>
    </row>
    <row r="4" spans="1:23">
      <c r="I4" s="6"/>
      <c r="K4" s="7">
        <v>0</v>
      </c>
      <c r="L4" s="8">
        <f>NumOfACol($B:$B)-1</f>
        <v>2</v>
      </c>
      <c r="M4" s="9"/>
      <c r="O4" s="1" t="s">
        <v>37</v>
      </c>
      <c r="P4" s="2">
        <v>0.84089999999999998</v>
      </c>
      <c r="Q4" s="2">
        <v>100</v>
      </c>
      <c r="R4" s="2">
        <f t="shared" si="2"/>
        <v>99.9</v>
      </c>
      <c r="S4" s="2">
        <f t="shared" si="3"/>
        <v>118.80128433820907</v>
      </c>
      <c r="T4" s="2">
        <f>Q4+T3</f>
        <v>190</v>
      </c>
      <c r="U4" s="2">
        <f>U3+S4</f>
        <v>222.44393563503905</v>
      </c>
      <c r="V4" s="2">
        <f>T4/U4</f>
        <v>0.85414780788508704</v>
      </c>
      <c r="W4" s="6">
        <f t="shared" ref="W4:W9" si="4">P4/V4-1</f>
        <v>-1.550997118155617E-2</v>
      </c>
    </row>
    <row r="5" spans="1:23">
      <c r="I5" s="6"/>
      <c r="K5" s="4" t="s">
        <v>32</v>
      </c>
      <c r="L5" s="8" t="s">
        <v>33</v>
      </c>
      <c r="M5" s="8" t="s">
        <v>34</v>
      </c>
      <c r="O5" s="1" t="s">
        <v>38</v>
      </c>
      <c r="P5" s="2">
        <v>0.83809999999999996</v>
      </c>
      <c r="Q5" s="2">
        <v>10</v>
      </c>
      <c r="R5" s="2">
        <f t="shared" si="2"/>
        <v>9.99</v>
      </c>
      <c r="S5" s="2">
        <f t="shared" si="3"/>
        <v>11.919818637394107</v>
      </c>
      <c r="T5" s="2">
        <f>Q5+T4</f>
        <v>200</v>
      </c>
      <c r="U5" s="2">
        <f>U4+S5</f>
        <v>234.36375427243317</v>
      </c>
      <c r="V5" s="2">
        <f>T5/U5</f>
        <v>0.85337427974256008</v>
      </c>
      <c r="W5" s="6">
        <f t="shared" si="4"/>
        <v>-1.7898687721368822E-2</v>
      </c>
    </row>
    <row r="6" spans="1:23">
      <c r="I6" s="6"/>
      <c r="K6" s="10">
        <f ca="1">M6/K8-1</f>
        <v>1.477786395263081E-3</v>
      </c>
      <c r="L6" s="10">
        <f ca="1">M8/K8-1</f>
        <v>1.477786395263081E-3</v>
      </c>
      <c r="M6" s="11">
        <f ca="1">OFFSET($B$1,L4,0)</f>
        <v>0.84699999999999998</v>
      </c>
      <c r="O6" s="1" t="s">
        <v>39</v>
      </c>
      <c r="P6" s="2">
        <v>0.85229999999999995</v>
      </c>
      <c r="Q6" s="2">
        <v>10</v>
      </c>
      <c r="R6" s="2">
        <f t="shared" si="2"/>
        <v>9.99</v>
      </c>
      <c r="S6" s="2">
        <f t="shared" si="3"/>
        <v>11.721224920802536</v>
      </c>
      <c r="T6" s="2">
        <f>Q6+T5</f>
        <v>210</v>
      </c>
      <c r="U6" s="2">
        <f>U5+S6</f>
        <v>246.08497919323571</v>
      </c>
      <c r="V6" s="2">
        <f>T6/U6</f>
        <v>0.85336374730576159</v>
      </c>
      <c r="W6" s="6">
        <f t="shared" si="4"/>
        <v>-1.2465344457390781E-3</v>
      </c>
    </row>
    <row r="7" spans="1:23">
      <c r="I7" s="6"/>
      <c r="K7" s="8" t="s">
        <v>28</v>
      </c>
      <c r="L7" s="8" t="s">
        <v>29</v>
      </c>
      <c r="M7" s="8" t="s">
        <v>26</v>
      </c>
      <c r="O7" s="1" t="s">
        <v>40</v>
      </c>
      <c r="P7" s="2">
        <v>0.84719999999999995</v>
      </c>
      <c r="Q7" s="2">
        <v>90</v>
      </c>
      <c r="R7" s="2">
        <f t="shared" si="2"/>
        <v>89.91</v>
      </c>
      <c r="S7" s="2">
        <f t="shared" si="3"/>
        <v>106.12606232294618</v>
      </c>
      <c r="T7" s="2">
        <f>Q7+T6</f>
        <v>300</v>
      </c>
      <c r="U7" s="2">
        <f>U6+S7</f>
        <v>352.21104151618192</v>
      </c>
      <c r="V7" s="2">
        <f>T7/U7</f>
        <v>0.85176205353635071</v>
      </c>
      <c r="W7" s="6">
        <f t="shared" si="4"/>
        <v>-5.3560187583022723E-3</v>
      </c>
    </row>
    <row r="8" spans="1:23">
      <c r="I8" s="6"/>
      <c r="K8" s="12">
        <f ca="1">OFFSET($H$1,L4,0)</f>
        <v>0.84575016191692765</v>
      </c>
      <c r="L8" s="12">
        <f ca="1">OFFSET($F$1,L4,0)</f>
        <v>300</v>
      </c>
      <c r="M8" s="12">
        <f ca="1">M6*(1+K4)</f>
        <v>0.84699999999999998</v>
      </c>
      <c r="O8" s="1" t="s">
        <v>43</v>
      </c>
      <c r="P8" s="2">
        <v>0.83099999999999996</v>
      </c>
      <c r="Q8" s="2">
        <v>20</v>
      </c>
      <c r="R8" s="2">
        <f t="shared" si="2"/>
        <v>19.98</v>
      </c>
      <c r="S8" s="2">
        <f t="shared" si="3"/>
        <v>24.04332129963899</v>
      </c>
      <c r="T8" s="2">
        <f t="shared" ref="T8:T9" si="5">Q8+T7</f>
        <v>320</v>
      </c>
      <c r="U8" s="2">
        <f t="shared" ref="U8:U9" si="6">U7+S8</f>
        <v>376.25436281582091</v>
      </c>
      <c r="V8" s="2">
        <f t="shared" ref="V8:V9" si="7">T8/U8</f>
        <v>0.85048847701107511</v>
      </c>
      <c r="W8" s="6">
        <f t="shared" si="4"/>
        <v>-2.2914451562665139E-2</v>
      </c>
    </row>
    <row r="9" spans="1:23">
      <c r="I9" s="6"/>
      <c r="O9" s="1" t="s">
        <v>44</v>
      </c>
      <c r="P9" s="2">
        <v>0.82630000000000003</v>
      </c>
      <c r="Q9" s="2">
        <v>80</v>
      </c>
      <c r="R9" s="2">
        <f t="shared" si="2"/>
        <v>79.92</v>
      </c>
      <c r="S9" s="2">
        <f t="shared" si="3"/>
        <v>96.720319496550886</v>
      </c>
      <c r="T9" s="2">
        <f t="shared" si="5"/>
        <v>400</v>
      </c>
      <c r="U9" s="2">
        <f t="shared" si="6"/>
        <v>472.97468231237178</v>
      </c>
      <c r="V9" s="2">
        <f t="shared" si="7"/>
        <v>0.84571122928694875</v>
      </c>
      <c r="W9" s="6">
        <f t="shared" si="4"/>
        <v>-2.2952550013217943E-2</v>
      </c>
    </row>
    <row r="10" spans="1:23">
      <c r="U10" s="2">
        <v>-118.26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X17"/>
  <sheetViews>
    <sheetView tabSelected="1" zoomScale="85" zoomScaleNormal="85" workbookViewId="0">
      <selection activeCell="I27" sqref="I27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8867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5.33203125" style="2" customWidth="1"/>
    <col min="12" max="12" width="12.21875" style="2" customWidth="1"/>
    <col min="13" max="13" width="12.77734375" style="2" customWidth="1"/>
    <col min="14" max="16384" width="9" style="2"/>
  </cols>
  <sheetData>
    <row r="1" spans="1:24">
      <c r="A1" s="1" t="s">
        <v>0</v>
      </c>
      <c r="B1" s="2" t="s">
        <v>1</v>
      </c>
      <c r="C1" s="2" t="s">
        <v>2</v>
      </c>
      <c r="D1" s="2" t="s">
        <v>17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  <c r="P1" s="1" t="s">
        <v>0</v>
      </c>
      <c r="Q1" s="2" t="s">
        <v>1</v>
      </c>
      <c r="R1" s="2" t="s">
        <v>2</v>
      </c>
      <c r="S1" s="2" t="s">
        <v>16</v>
      </c>
      <c r="T1" s="2" t="s">
        <v>3</v>
      </c>
      <c r="U1" s="2" t="s">
        <v>11</v>
      </c>
      <c r="V1" s="2" t="s">
        <v>12</v>
      </c>
      <c r="W1" s="2" t="s">
        <v>13</v>
      </c>
      <c r="X1" s="2" t="s">
        <v>14</v>
      </c>
    </row>
    <row r="2" spans="1:24">
      <c r="A2" s="1" t="s">
        <v>50</v>
      </c>
      <c r="B2" s="2">
        <v>0.59389999999999998</v>
      </c>
      <c r="C2" s="2">
        <v>200</v>
      </c>
      <c r="D2" s="2">
        <v>200</v>
      </c>
      <c r="E2" s="2">
        <v>340.77120917196379</v>
      </c>
      <c r="F2" s="2">
        <v>200</v>
      </c>
      <c r="G2" s="2">
        <v>340.77120917196379</v>
      </c>
      <c r="H2" s="2">
        <v>0.58691047701126076</v>
      </c>
      <c r="I2" s="6">
        <f>B2/H2-1</f>
        <v>1.1909010424097755E-2</v>
      </c>
      <c r="P2" s="1" t="s">
        <v>4</v>
      </c>
      <c r="Q2" s="2">
        <v>0.59440000000000004</v>
      </c>
      <c r="R2" s="2">
        <v>10</v>
      </c>
      <c r="S2" s="2">
        <f>R2*1</f>
        <v>10</v>
      </c>
      <c r="T2" s="2">
        <f>S2/Q2</f>
        <v>16.823687752355315</v>
      </c>
      <c r="U2" s="2">
        <f>R2+0</f>
        <v>10</v>
      </c>
      <c r="V2" s="2">
        <f>T2</f>
        <v>16.823687752355315</v>
      </c>
      <c r="W2" s="2">
        <f>U2/V2</f>
        <v>0.59440000000000004</v>
      </c>
      <c r="X2" s="6">
        <f t="shared" ref="X2" si="0">W2/Q2-1</f>
        <v>0</v>
      </c>
    </row>
    <row r="3" spans="1:24">
      <c r="A3" s="1" t="s">
        <v>48</v>
      </c>
      <c r="B3" s="2">
        <v>0.59389999999999998</v>
      </c>
      <c r="C3" s="2">
        <v>0</v>
      </c>
      <c r="D3" s="2">
        <f t="shared" ref="D3:D8" si="1">C3*1</f>
        <v>0</v>
      </c>
      <c r="E3" s="2">
        <f t="shared" ref="E3:E8" si="2">D3/B3</f>
        <v>0</v>
      </c>
      <c r="F3" s="2">
        <f>C3+F2</f>
        <v>200</v>
      </c>
      <c r="G3" s="2">
        <f>G2+E3</f>
        <v>340.77120917196379</v>
      </c>
      <c r="H3" s="2">
        <f>F3/G3</f>
        <v>0.58690404182318634</v>
      </c>
      <c r="I3" s="6">
        <f>B3/H3-1</f>
        <v>1.1920105636146427E-2</v>
      </c>
      <c r="P3" s="1" t="s">
        <v>5</v>
      </c>
      <c r="Q3" s="2">
        <v>0.5978</v>
      </c>
      <c r="R3" s="2">
        <v>10</v>
      </c>
      <c r="S3" s="2">
        <f t="shared" ref="S3:S16" si="3">R3*1</f>
        <v>10</v>
      </c>
      <c r="T3" s="2">
        <f t="shared" ref="T3:T16" si="4">S3/Q3</f>
        <v>16.728002676480429</v>
      </c>
      <c r="U3" s="2">
        <f>R3+U2</f>
        <v>20</v>
      </c>
      <c r="V3" s="2">
        <f>V2+T3</f>
        <v>33.551690428835741</v>
      </c>
      <c r="W3" s="2">
        <f>U3/V3</f>
        <v>0.59609515182016448</v>
      </c>
      <c r="X3" s="6">
        <f>Q3/W3-1</f>
        <v>2.8600269179002158E-3</v>
      </c>
    </row>
    <row r="4" spans="1:24">
      <c r="I4" s="6"/>
      <c r="K4" s="4" t="s">
        <v>31</v>
      </c>
      <c r="L4" s="4" t="s">
        <v>30</v>
      </c>
      <c r="M4" s="5"/>
      <c r="P4" s="1" t="s">
        <v>6</v>
      </c>
      <c r="Q4" s="2">
        <v>0.58940000000000003</v>
      </c>
      <c r="R4" s="2">
        <v>10</v>
      </c>
      <c r="S4" s="2">
        <f t="shared" si="3"/>
        <v>10</v>
      </c>
      <c r="T4" s="2">
        <f t="shared" si="4"/>
        <v>16.9664065151001</v>
      </c>
      <c r="U4" s="2">
        <f t="shared" ref="U4:U16" si="5">R4+U3</f>
        <v>30</v>
      </c>
      <c r="V4" s="2">
        <f t="shared" ref="V4:V16" si="6">V3+T4</f>
        <v>50.518096943935845</v>
      </c>
      <c r="W4" s="2">
        <f t="shared" ref="W4:W16" si="7">U4/V4</f>
        <v>0.59384659784974692</v>
      </c>
      <c r="X4" s="6">
        <f t="shared" ref="X4:X16" si="8">Q4/W4-1</f>
        <v>-7.4877887081403749E-3</v>
      </c>
    </row>
    <row r="5" spans="1:24">
      <c r="I5" s="6"/>
      <c r="K5" s="7">
        <v>0</v>
      </c>
      <c r="L5" s="8">
        <f>NumOfACol($B:$B)-1</f>
        <v>2</v>
      </c>
      <c r="M5" s="9"/>
      <c r="P5" s="1" t="s">
        <v>7</v>
      </c>
      <c r="Q5" s="2">
        <v>0.58479999999999999</v>
      </c>
      <c r="R5" s="2">
        <v>10</v>
      </c>
      <c r="S5" s="2">
        <f t="shared" si="3"/>
        <v>10</v>
      </c>
      <c r="T5" s="2">
        <f t="shared" si="4"/>
        <v>17.09986320109439</v>
      </c>
      <c r="U5" s="2">
        <f t="shared" si="5"/>
        <v>40</v>
      </c>
      <c r="V5" s="2">
        <f t="shared" si="6"/>
        <v>67.617960145030239</v>
      </c>
      <c r="W5" s="2">
        <f t="shared" si="7"/>
        <v>0.59155880943770089</v>
      </c>
      <c r="X5" s="6">
        <f t="shared" si="8"/>
        <v>-1.1425422679657848E-2</v>
      </c>
    </row>
    <row r="6" spans="1:24">
      <c r="I6" s="6"/>
      <c r="K6" s="4" t="s">
        <v>32</v>
      </c>
      <c r="L6" s="8" t="s">
        <v>33</v>
      </c>
      <c r="M6" s="8" t="s">
        <v>34</v>
      </c>
      <c r="P6" s="1" t="s">
        <v>8</v>
      </c>
      <c r="Q6" s="2">
        <v>0.60899999999999999</v>
      </c>
      <c r="R6" s="2">
        <v>10</v>
      </c>
      <c r="S6" s="2">
        <f t="shared" si="3"/>
        <v>10</v>
      </c>
      <c r="T6" s="2">
        <f t="shared" si="4"/>
        <v>16.420361247947454</v>
      </c>
      <c r="U6" s="2">
        <f t="shared" si="5"/>
        <v>50</v>
      </c>
      <c r="V6" s="2">
        <f t="shared" si="6"/>
        <v>84.038321392977693</v>
      </c>
      <c r="W6" s="2">
        <f t="shared" si="7"/>
        <v>0.594966667244475</v>
      </c>
      <c r="X6" s="6">
        <f t="shared" si="8"/>
        <v>2.3586754566468304E-2</v>
      </c>
    </row>
    <row r="7" spans="1:24">
      <c r="I7" s="6"/>
      <c r="K7" s="10">
        <f ca="1">M7/K9-1</f>
        <v>1.1920105636146427E-2</v>
      </c>
      <c r="L7" s="10">
        <f ca="1">M9/K9-1</f>
        <v>1.1920105636146427E-2</v>
      </c>
      <c r="M7" s="11">
        <f ca="1">OFFSET($B$1,L5,0)</f>
        <v>0.59389999999999998</v>
      </c>
      <c r="P7" s="1" t="s">
        <v>9</v>
      </c>
      <c r="Q7" s="2">
        <v>0.59730000000000005</v>
      </c>
      <c r="R7" s="2">
        <v>20</v>
      </c>
      <c r="S7" s="2">
        <f t="shared" si="3"/>
        <v>20</v>
      </c>
      <c r="T7" s="2">
        <f t="shared" si="4"/>
        <v>33.484011384563871</v>
      </c>
      <c r="U7" s="2">
        <f t="shared" si="5"/>
        <v>70</v>
      </c>
      <c r="V7" s="2">
        <f t="shared" si="6"/>
        <v>117.52233277754156</v>
      </c>
      <c r="W7" s="2">
        <f t="shared" si="7"/>
        <v>0.59563147144554429</v>
      </c>
      <c r="X7" s="6">
        <f t="shared" si="8"/>
        <v>2.8012766860796567E-3</v>
      </c>
    </row>
    <row r="8" spans="1:24">
      <c r="I8" s="6"/>
      <c r="K8" s="8" t="s">
        <v>28</v>
      </c>
      <c r="L8" s="8" t="s">
        <v>29</v>
      </c>
      <c r="M8" s="8" t="s">
        <v>26</v>
      </c>
      <c r="P8" s="1" t="s">
        <v>10</v>
      </c>
      <c r="Q8" s="2">
        <v>0.59419999999999995</v>
      </c>
      <c r="R8" s="2">
        <v>10</v>
      </c>
      <c r="S8" s="2">
        <f t="shared" si="3"/>
        <v>10</v>
      </c>
      <c r="T8" s="2">
        <f t="shared" si="4"/>
        <v>16.82935038707506</v>
      </c>
      <c r="U8" s="2">
        <f t="shared" si="5"/>
        <v>80</v>
      </c>
      <c r="V8" s="2">
        <f t="shared" si="6"/>
        <v>134.35168316461662</v>
      </c>
      <c r="W8" s="2">
        <f t="shared" si="7"/>
        <v>0.59545216044654004</v>
      </c>
      <c r="X8" s="6">
        <f t="shared" si="8"/>
        <v>-2.1028732948101814E-3</v>
      </c>
    </row>
    <row r="9" spans="1:24">
      <c r="I9" s="6"/>
      <c r="K9" s="12">
        <f ca="1">OFFSET($H$1,L5,0)</f>
        <v>0.58690404182318634</v>
      </c>
      <c r="L9" s="12">
        <f ca="1">OFFSET($F$1,L5,0)</f>
        <v>200</v>
      </c>
      <c r="M9" s="12">
        <f ca="1">M7*(1+K5)</f>
        <v>0.59389999999999998</v>
      </c>
      <c r="P9" s="1" t="s">
        <v>18</v>
      </c>
      <c r="Q9" s="2">
        <v>0.6069</v>
      </c>
      <c r="R9" s="2">
        <v>10</v>
      </c>
      <c r="S9" s="2">
        <f t="shared" si="3"/>
        <v>10</v>
      </c>
      <c r="T9" s="2">
        <f t="shared" si="4"/>
        <v>16.477179106936891</v>
      </c>
      <c r="U9" s="2">
        <f t="shared" si="5"/>
        <v>90</v>
      </c>
      <c r="V9" s="2">
        <f t="shared" si="6"/>
        <v>150.8288622715535</v>
      </c>
      <c r="W9" s="2">
        <f t="shared" si="7"/>
        <v>0.59670277057426369</v>
      </c>
      <c r="X9" s="6">
        <f t="shared" si="8"/>
        <v>1.708929458450914E-2</v>
      </c>
    </row>
    <row r="10" spans="1:24">
      <c r="I10" s="6"/>
      <c r="P10" s="1" t="s">
        <v>35</v>
      </c>
      <c r="Q10" s="2">
        <v>0.6089</v>
      </c>
      <c r="R10" s="2">
        <v>10</v>
      </c>
      <c r="S10" s="2">
        <f t="shared" si="3"/>
        <v>10</v>
      </c>
      <c r="T10" s="2">
        <f t="shared" si="4"/>
        <v>16.423057973394645</v>
      </c>
      <c r="U10" s="2">
        <f t="shared" si="5"/>
        <v>100</v>
      </c>
      <c r="V10" s="2">
        <f t="shared" si="6"/>
        <v>167.25192024494814</v>
      </c>
      <c r="W10" s="2">
        <f t="shared" si="7"/>
        <v>0.59790045969903005</v>
      </c>
      <c r="X10" s="6">
        <f t="shared" si="8"/>
        <v>1.8396942371489144E-2</v>
      </c>
    </row>
    <row r="11" spans="1:24">
      <c r="I11" s="6"/>
      <c r="P11" s="1" t="s">
        <v>37</v>
      </c>
      <c r="Q11" s="2">
        <v>0.58789999999999998</v>
      </c>
      <c r="R11" s="2">
        <v>60</v>
      </c>
      <c r="S11" s="2">
        <f t="shared" si="3"/>
        <v>60</v>
      </c>
      <c r="T11" s="2">
        <f t="shared" si="4"/>
        <v>102.05817315870047</v>
      </c>
      <c r="U11" s="2">
        <f t="shared" si="5"/>
        <v>160</v>
      </c>
      <c r="V11" s="2">
        <f t="shared" si="6"/>
        <v>269.31009340364858</v>
      </c>
      <c r="W11" s="2">
        <f t="shared" si="7"/>
        <v>0.59411066988933114</v>
      </c>
      <c r="X11" s="6">
        <f t="shared" si="8"/>
        <v>-1.0453725549968818E-2</v>
      </c>
    </row>
    <row r="12" spans="1:24">
      <c r="I12" s="6"/>
      <c r="P12" s="1" t="s">
        <v>38</v>
      </c>
      <c r="Q12" s="2">
        <v>0.58440000000000003</v>
      </c>
      <c r="R12" s="2">
        <v>30</v>
      </c>
      <c r="S12" s="2">
        <f t="shared" si="3"/>
        <v>30</v>
      </c>
      <c r="T12" s="2">
        <f t="shared" si="4"/>
        <v>51.3347022587269</v>
      </c>
      <c r="U12" s="2">
        <f t="shared" si="5"/>
        <v>190</v>
      </c>
      <c r="V12" s="2">
        <f t="shared" si="6"/>
        <v>320.64479566237549</v>
      </c>
      <c r="W12" s="2">
        <f t="shared" si="7"/>
        <v>0.5925560076766736</v>
      </c>
      <c r="X12" s="6">
        <f t="shared" si="8"/>
        <v>-1.3764112710040854E-2</v>
      </c>
    </row>
    <row r="13" spans="1:24">
      <c r="I13" s="6"/>
      <c r="P13" s="1" t="s">
        <v>39</v>
      </c>
      <c r="Q13" s="2">
        <v>0.59340000000000004</v>
      </c>
      <c r="R13" s="2">
        <v>10</v>
      </c>
      <c r="S13" s="2">
        <f t="shared" si="3"/>
        <v>10</v>
      </c>
      <c r="T13" s="2">
        <f t="shared" si="4"/>
        <v>16.852039096730703</v>
      </c>
      <c r="U13" s="2">
        <f t="shared" si="5"/>
        <v>200</v>
      </c>
      <c r="V13" s="2">
        <f t="shared" si="6"/>
        <v>337.49683475910621</v>
      </c>
      <c r="W13" s="2">
        <f t="shared" si="7"/>
        <v>0.59259815026932983</v>
      </c>
      <c r="X13" s="6">
        <f t="shared" si="8"/>
        <v>1.353108730268282E-3</v>
      </c>
    </row>
    <row r="14" spans="1:24">
      <c r="I14" s="6"/>
      <c r="P14" s="1" t="s">
        <v>40</v>
      </c>
      <c r="Q14" s="2">
        <v>0.59160000000000001</v>
      </c>
      <c r="R14" s="2">
        <v>0</v>
      </c>
      <c r="S14" s="2">
        <f t="shared" si="3"/>
        <v>0</v>
      </c>
      <c r="T14" s="2">
        <f t="shared" si="4"/>
        <v>0</v>
      </c>
      <c r="U14" s="2">
        <f t="shared" si="5"/>
        <v>200</v>
      </c>
      <c r="V14" s="2">
        <f t="shared" si="6"/>
        <v>337.49683475910621</v>
      </c>
      <c r="W14" s="2">
        <f t="shared" si="7"/>
        <v>0.59259815026932983</v>
      </c>
      <c r="X14" s="6">
        <f t="shared" si="8"/>
        <v>-1.6843627825637864E-3</v>
      </c>
    </row>
    <row r="15" spans="1:24">
      <c r="I15" s="6"/>
      <c r="P15" s="1" t="s">
        <v>43</v>
      </c>
      <c r="Q15" s="2">
        <v>0.5776</v>
      </c>
      <c r="R15" s="2">
        <v>40</v>
      </c>
      <c r="S15" s="2">
        <f t="shared" si="3"/>
        <v>40</v>
      </c>
      <c r="T15" s="2">
        <f t="shared" si="4"/>
        <v>69.252077562326875</v>
      </c>
      <c r="U15" s="2">
        <f t="shared" si="5"/>
        <v>240</v>
      </c>
      <c r="V15" s="2">
        <f t="shared" si="6"/>
        <v>406.74891232143307</v>
      </c>
      <c r="W15" s="2">
        <f t="shared" si="7"/>
        <v>0.59004460179192841</v>
      </c>
      <c r="X15" s="6">
        <f t="shared" si="8"/>
        <v>-2.1090951013084336E-2</v>
      </c>
    </row>
    <row r="16" spans="1:24">
      <c r="I16" s="6"/>
      <c r="P16" s="1" t="s">
        <v>44</v>
      </c>
      <c r="Q16" s="2">
        <v>0.57469999999999999</v>
      </c>
      <c r="R16" s="2">
        <v>60</v>
      </c>
      <c r="S16" s="2">
        <f t="shared" si="3"/>
        <v>60</v>
      </c>
      <c r="T16" s="2">
        <f t="shared" si="4"/>
        <v>104.40229685053072</v>
      </c>
      <c r="U16" s="2">
        <f t="shared" si="5"/>
        <v>300</v>
      </c>
      <c r="V16" s="2">
        <f t="shared" si="6"/>
        <v>511.15120917196379</v>
      </c>
      <c r="W16" s="2">
        <f t="shared" si="7"/>
        <v>0.58691047701126076</v>
      </c>
      <c r="X16" s="6">
        <f t="shared" si="8"/>
        <v>-2.0804666962908058E-2</v>
      </c>
    </row>
    <row r="17" spans="22:22">
      <c r="V17" s="2">
        <v>-170.38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K41"/>
  <sheetViews>
    <sheetView zoomScale="85" zoomScaleNormal="85" workbookViewId="0">
      <selection activeCell="S12" sqref="S12"/>
    </sheetView>
  </sheetViews>
  <sheetFormatPr defaultColWidth="9" defaultRowHeight="15.75"/>
  <cols>
    <col min="1" max="1" width="9" style="2"/>
    <col min="2" max="2" width="8.44140625" style="2" customWidth="1"/>
    <col min="3" max="3" width="12.6640625" style="2" customWidth="1"/>
    <col min="4" max="5" width="9" style="2"/>
    <col min="6" max="6" width="14.33203125" style="2" customWidth="1"/>
    <col min="7" max="8" width="9" style="2"/>
    <col min="9" max="9" width="15.6640625" style="2" customWidth="1"/>
    <col min="10" max="16384" width="9" style="2"/>
  </cols>
  <sheetData>
    <row r="1" spans="1:11" ht="34.5" customHeight="1">
      <c r="A1" s="13" t="s">
        <v>20</v>
      </c>
      <c r="B1" s="13" t="s">
        <v>21</v>
      </c>
      <c r="C1" s="13" t="s">
        <v>25</v>
      </c>
      <c r="D1" s="13" t="s">
        <v>22</v>
      </c>
      <c r="E1" s="13" t="s">
        <v>23</v>
      </c>
      <c r="F1" s="13" t="s">
        <v>24</v>
      </c>
      <c r="G1" s="14"/>
      <c r="H1" s="2" t="s">
        <v>19</v>
      </c>
      <c r="I1" s="2" t="str">
        <f>IF(C2&gt;A2,"Don't invest!!!","Try invest.")</f>
        <v>Try invest.</v>
      </c>
      <c r="K1" s="6">
        <f>C2/A2-1</f>
        <v>-7.2623473088092583E-3</v>
      </c>
    </row>
    <row r="2" spans="1:11">
      <c r="A2" s="15">
        <v>1.1017734615332837</v>
      </c>
      <c r="B2" s="15">
        <v>90</v>
      </c>
      <c r="C2" s="15">
        <v>1.093772</v>
      </c>
      <c r="D2" s="2">
        <v>10</v>
      </c>
      <c r="E2" s="2">
        <f t="shared" ref="E2:E17" si="0">(B2+D2)/(B2/A2+D2/C2)</f>
        <v>1.1009680511268676</v>
      </c>
      <c r="F2" s="2">
        <f>-100*(1-E2/A2)</f>
        <v>-7.3101271226416742E-2</v>
      </c>
    </row>
    <row r="3" spans="1:11">
      <c r="A3" s="2">
        <f>A2</f>
        <v>1.1017734615332837</v>
      </c>
      <c r="B3" s="2">
        <f>B2</f>
        <v>90</v>
      </c>
      <c r="C3" s="2">
        <f>C2</f>
        <v>1.093772</v>
      </c>
      <c r="D3" s="2">
        <v>20</v>
      </c>
      <c r="E3" s="2">
        <f t="shared" si="0"/>
        <v>1.1003099543017558</v>
      </c>
      <c r="F3" s="2">
        <f t="shared" ref="F3:F21" si="1">-100*(1-E3/A3)</f>
        <v>-0.13283195526340164</v>
      </c>
    </row>
    <row r="4" spans="1:11">
      <c r="A4" s="2">
        <f t="shared" ref="A4:A17" si="2">A3</f>
        <v>1.1017734615332837</v>
      </c>
      <c r="B4" s="2">
        <f t="shared" ref="B4:B17" si="3">B3</f>
        <v>90</v>
      </c>
      <c r="C4" s="2">
        <f t="shared" ref="C4:C17" si="4">C3</f>
        <v>1.093772</v>
      </c>
      <c r="D4" s="2">
        <v>30</v>
      </c>
      <c r="E4" s="2">
        <f t="shared" si="0"/>
        <v>1.0997621409685951</v>
      </c>
      <c r="F4" s="2">
        <f t="shared" si="1"/>
        <v>-0.18255300521483608</v>
      </c>
    </row>
    <row r="5" spans="1:11">
      <c r="A5" s="2">
        <f t="shared" si="2"/>
        <v>1.1017734615332837</v>
      </c>
      <c r="B5" s="2">
        <f t="shared" si="3"/>
        <v>90</v>
      </c>
      <c r="C5" s="2">
        <f t="shared" si="4"/>
        <v>1.093772</v>
      </c>
      <c r="D5" s="2">
        <v>40</v>
      </c>
      <c r="E5" s="2">
        <f t="shared" si="0"/>
        <v>1.0992990324870331</v>
      </c>
      <c r="F5" s="2">
        <f t="shared" si="1"/>
        <v>-0.22458600907006021</v>
      </c>
    </row>
    <row r="6" spans="1:11">
      <c r="A6" s="2">
        <f t="shared" si="2"/>
        <v>1.1017734615332837</v>
      </c>
      <c r="B6" s="2">
        <f t="shared" si="3"/>
        <v>90</v>
      </c>
      <c r="C6" s="2">
        <f t="shared" si="4"/>
        <v>1.093772</v>
      </c>
      <c r="D6" s="2">
        <v>50</v>
      </c>
      <c r="E6" s="2">
        <f t="shared" si="0"/>
        <v>1.0989023926790751</v>
      </c>
      <c r="F6" s="2">
        <f t="shared" si="1"/>
        <v>-0.26058613267132547</v>
      </c>
    </row>
    <row r="7" spans="1:11">
      <c r="A7" s="2">
        <f t="shared" si="2"/>
        <v>1.1017734615332837</v>
      </c>
      <c r="B7" s="2">
        <f t="shared" si="3"/>
        <v>90</v>
      </c>
      <c r="C7" s="2">
        <f t="shared" si="4"/>
        <v>1.093772</v>
      </c>
      <c r="D7" s="2">
        <v>60</v>
      </c>
      <c r="E7" s="2">
        <f t="shared" si="0"/>
        <v>1.0985588696302566</v>
      </c>
      <c r="F7" s="2">
        <f t="shared" si="1"/>
        <v>-0.29176523262354204</v>
      </c>
    </row>
    <row r="8" spans="1:11">
      <c r="A8" s="2">
        <f t="shared" si="2"/>
        <v>1.1017734615332837</v>
      </c>
      <c r="B8" s="2">
        <f t="shared" si="3"/>
        <v>90</v>
      </c>
      <c r="C8" s="2">
        <f t="shared" si="4"/>
        <v>1.093772</v>
      </c>
      <c r="D8" s="2">
        <v>70</v>
      </c>
      <c r="E8" s="2">
        <f t="shared" si="0"/>
        <v>1.0982584630965384</v>
      </c>
      <c r="F8" s="2">
        <f t="shared" si="1"/>
        <v>-0.31903095867399367</v>
      </c>
    </row>
    <row r="9" spans="1:11">
      <c r="A9" s="2">
        <f t="shared" si="2"/>
        <v>1.1017734615332837</v>
      </c>
      <c r="B9" s="2">
        <f t="shared" si="3"/>
        <v>90</v>
      </c>
      <c r="C9" s="2">
        <f t="shared" si="4"/>
        <v>1.093772</v>
      </c>
      <c r="D9" s="2">
        <v>80</v>
      </c>
      <c r="E9" s="2">
        <f t="shared" si="0"/>
        <v>1.097993534914139</v>
      </c>
      <c r="F9" s="2">
        <f t="shared" si="1"/>
        <v>-0.34307657164698302</v>
      </c>
    </row>
    <row r="10" spans="1:11">
      <c r="A10" s="2">
        <f t="shared" si="2"/>
        <v>1.1017734615332837</v>
      </c>
      <c r="B10" s="2">
        <f t="shared" si="3"/>
        <v>90</v>
      </c>
      <c r="C10" s="2">
        <f t="shared" si="4"/>
        <v>1.093772</v>
      </c>
      <c r="D10" s="2">
        <v>90</v>
      </c>
      <c r="E10" s="2">
        <f t="shared" si="0"/>
        <v>1.0977581504749123</v>
      </c>
      <c r="F10" s="2">
        <f t="shared" si="1"/>
        <v>-0.36444071295594904</v>
      </c>
    </row>
    <row r="11" spans="1:11">
      <c r="A11" s="2">
        <f t="shared" si="2"/>
        <v>1.1017734615332837</v>
      </c>
      <c r="B11" s="2">
        <f t="shared" si="3"/>
        <v>90</v>
      </c>
      <c r="C11" s="2">
        <f t="shared" si="4"/>
        <v>1.093772</v>
      </c>
      <c r="D11" s="2">
        <v>100</v>
      </c>
      <c r="E11" s="2">
        <f t="shared" si="0"/>
        <v>1.0975476288747175</v>
      </c>
      <c r="F11" s="2">
        <f t="shared" si="1"/>
        <v>-0.38354823437890539</v>
      </c>
    </row>
    <row r="12" spans="1:11">
      <c r="A12" s="2">
        <f t="shared" si="2"/>
        <v>1.1017734615332837</v>
      </c>
      <c r="B12" s="2">
        <f t="shared" si="3"/>
        <v>90</v>
      </c>
      <c r="C12" s="2">
        <f t="shared" si="4"/>
        <v>1.093772</v>
      </c>
      <c r="D12" s="2">
        <v>110</v>
      </c>
      <c r="E12" s="2">
        <f t="shared" si="0"/>
        <v>1.0973582284597645</v>
      </c>
      <c r="F12" s="2">
        <f t="shared" si="1"/>
        <v>-0.40073873873988086</v>
      </c>
    </row>
    <row r="13" spans="1:11">
      <c r="A13" s="2">
        <f t="shared" si="2"/>
        <v>1.1017734615332837</v>
      </c>
      <c r="B13" s="2">
        <f t="shared" si="3"/>
        <v>90</v>
      </c>
      <c r="C13" s="2">
        <f t="shared" si="4"/>
        <v>1.093772</v>
      </c>
      <c r="D13" s="2">
        <v>120</v>
      </c>
      <c r="E13" s="2">
        <f t="shared" si="0"/>
        <v>1.0971869224973685</v>
      </c>
      <c r="F13" s="2">
        <f t="shared" si="1"/>
        <v>-0.41628694065042326</v>
      </c>
    </row>
    <row r="14" spans="1:11">
      <c r="A14" s="2">
        <f t="shared" si="2"/>
        <v>1.1017734615332837</v>
      </c>
      <c r="B14" s="2">
        <f t="shared" si="3"/>
        <v>90</v>
      </c>
      <c r="C14" s="2">
        <f t="shared" si="4"/>
        <v>1.093772</v>
      </c>
      <c r="D14" s="2">
        <v>130</v>
      </c>
      <c r="E14" s="2">
        <f t="shared" si="0"/>
        <v>1.0970312362097139</v>
      </c>
      <c r="F14" s="2">
        <f t="shared" si="1"/>
        <v>-0.43041745777487872</v>
      </c>
    </row>
    <row r="15" spans="1:11">
      <c r="A15" s="2">
        <f t="shared" si="2"/>
        <v>1.1017734615332837</v>
      </c>
      <c r="B15" s="2">
        <f t="shared" si="3"/>
        <v>90</v>
      </c>
      <c r="C15" s="2">
        <f t="shared" si="4"/>
        <v>1.093772</v>
      </c>
      <c r="D15" s="2">
        <v>140</v>
      </c>
      <c r="E15" s="2">
        <f t="shared" si="0"/>
        <v>1.096889126441708</v>
      </c>
      <c r="F15" s="2">
        <f t="shared" si="1"/>
        <v>-0.443315732508065</v>
      </c>
    </row>
    <row r="16" spans="1:11">
      <c r="A16" s="2">
        <f t="shared" si="2"/>
        <v>1.1017734615332837</v>
      </c>
      <c r="B16" s="2">
        <f t="shared" si="3"/>
        <v>90</v>
      </c>
      <c r="C16" s="2">
        <f t="shared" si="4"/>
        <v>1.093772</v>
      </c>
      <c r="D16" s="2">
        <v>150</v>
      </c>
      <c r="E16" s="2">
        <f t="shared" si="0"/>
        <v>1.0967588914940203</v>
      </c>
      <c r="F16" s="2">
        <f t="shared" si="1"/>
        <v>-0.4551362157775074</v>
      </c>
    </row>
    <row r="17" spans="1:6">
      <c r="A17" s="2">
        <f t="shared" si="2"/>
        <v>1.1017734615332837</v>
      </c>
      <c r="B17" s="2">
        <f t="shared" si="3"/>
        <v>90</v>
      </c>
      <c r="C17" s="2">
        <f t="shared" si="4"/>
        <v>1.093772</v>
      </c>
      <c r="D17" s="2">
        <v>160</v>
      </c>
      <c r="E17" s="2">
        <f t="shared" si="0"/>
        <v>1.096639102652919</v>
      </c>
      <c r="F17" s="2">
        <f t="shared" si="1"/>
        <v>-0.4660085815844095</v>
      </c>
    </row>
    <row r="18" spans="1:6">
      <c r="A18" s="2">
        <f t="shared" ref="A18:A41" si="5">A17</f>
        <v>1.1017734615332837</v>
      </c>
      <c r="B18" s="2">
        <f t="shared" ref="B18:B41" si="6">B17</f>
        <v>90</v>
      </c>
      <c r="C18" s="2">
        <f t="shared" ref="C18:C41" si="7">C17</f>
        <v>1.093772</v>
      </c>
      <c r="D18" s="2">
        <v>170</v>
      </c>
      <c r="E18" s="2">
        <f t="shared" ref="E18:E21" si="8">(B18+D18)/(B18/A18+D18/C18)</f>
        <v>1.0965285515607361</v>
      </c>
      <c r="F18" s="2">
        <f t="shared" si="1"/>
        <v>-0.47604250380549606</v>
      </c>
    </row>
    <row r="19" spans="1:6">
      <c r="A19" s="2">
        <f t="shared" si="5"/>
        <v>1.1017734615332837</v>
      </c>
      <c r="B19" s="2">
        <f t="shared" si="6"/>
        <v>90</v>
      </c>
      <c r="C19" s="2">
        <f t="shared" si="7"/>
        <v>1.093772</v>
      </c>
      <c r="D19" s="2">
        <v>180</v>
      </c>
      <c r="E19" s="2">
        <f t="shared" si="8"/>
        <v>1.0964262093101638</v>
      </c>
      <c r="F19" s="2">
        <f t="shared" si="1"/>
        <v>-0.48533136890758222</v>
      </c>
    </row>
    <row r="20" spans="1:6">
      <c r="A20" s="2">
        <f t="shared" si="5"/>
        <v>1.1017734615332837</v>
      </c>
      <c r="B20" s="2">
        <f t="shared" si="6"/>
        <v>90</v>
      </c>
      <c r="C20" s="2">
        <f t="shared" si="7"/>
        <v>1.093772</v>
      </c>
      <c r="D20" s="2">
        <v>190</v>
      </c>
      <c r="E20" s="2">
        <f t="shared" si="8"/>
        <v>1.0963311943245715</v>
      </c>
      <c r="F20" s="2">
        <f t="shared" si="1"/>
        <v>-0.49395519121857578</v>
      </c>
    </row>
    <row r="21" spans="1:6">
      <c r="A21" s="2">
        <f t="shared" si="5"/>
        <v>1.1017734615332837</v>
      </c>
      <c r="B21" s="2">
        <f t="shared" si="6"/>
        <v>90</v>
      </c>
      <c r="C21" s="2">
        <f t="shared" si="7"/>
        <v>1.093772</v>
      </c>
      <c r="D21" s="2">
        <v>200</v>
      </c>
      <c r="E21" s="2">
        <f t="shared" si="8"/>
        <v>1.0962427468987819</v>
      </c>
      <c r="F21" s="2">
        <f t="shared" si="1"/>
        <v>-0.50198292367698016</v>
      </c>
    </row>
    <row r="22" spans="1:6">
      <c r="A22" s="2">
        <f t="shared" si="5"/>
        <v>1.1017734615332837</v>
      </c>
      <c r="B22" s="2">
        <f t="shared" si="6"/>
        <v>90</v>
      </c>
      <c r="C22" s="2">
        <f t="shared" si="7"/>
        <v>1.093772</v>
      </c>
      <c r="D22" s="2">
        <v>210</v>
      </c>
      <c r="E22" s="2">
        <f t="shared" ref="E22:E27" si="9">(B22+D22)/(B22/A22+D22/C22)</f>
        <v>1.096160208842814</v>
      </c>
      <c r="F22" s="2">
        <f t="shared" ref="F22:F27" si="10">-100*(1-E22/A22)</f>
        <v>-0.50947430542191974</v>
      </c>
    </row>
    <row r="23" spans="1:6">
      <c r="A23" s="2">
        <f t="shared" si="5"/>
        <v>1.1017734615332837</v>
      </c>
      <c r="B23" s="2">
        <f t="shared" si="6"/>
        <v>90</v>
      </c>
      <c r="C23" s="2">
        <f t="shared" si="7"/>
        <v>1.093772</v>
      </c>
      <c r="D23" s="2">
        <v>220</v>
      </c>
      <c r="E23" s="2">
        <f t="shared" si="9"/>
        <v>1.0960830070738674</v>
      </c>
      <c r="F23" s="2">
        <f t="shared" si="10"/>
        <v>-0.51648135102992931</v>
      </c>
    </row>
    <row r="24" spans="1:6">
      <c r="A24" s="2">
        <f t="shared" si="5"/>
        <v>1.1017734615332837</v>
      </c>
      <c r="B24" s="2">
        <f t="shared" si="6"/>
        <v>90</v>
      </c>
      <c r="C24" s="2">
        <f t="shared" si="7"/>
        <v>1.093772</v>
      </c>
      <c r="D24" s="2">
        <v>230</v>
      </c>
      <c r="E24" s="2">
        <f t="shared" si="9"/>
        <v>1.0960106402911094</v>
      </c>
      <c r="F24" s="2">
        <f t="shared" si="10"/>
        <v>-0.52304955994805225</v>
      </c>
    </row>
    <row r="25" spans="1:6">
      <c r="A25" s="2">
        <f t="shared" si="5"/>
        <v>1.1017734615332837</v>
      </c>
      <c r="B25" s="2">
        <f t="shared" si="6"/>
        <v>90</v>
      </c>
      <c r="C25" s="2">
        <f t="shared" si="7"/>
        <v>1.093772</v>
      </c>
      <c r="D25" s="2">
        <v>240</v>
      </c>
      <c r="E25" s="2">
        <f t="shared" si="9"/>
        <v>1.0959426680780342</v>
      </c>
      <c r="F25" s="2">
        <f t="shared" si="10"/>
        <v>-0.52921890559380902</v>
      </c>
    </row>
    <row r="26" spans="1:6">
      <c r="A26" s="2">
        <f t="shared" si="5"/>
        <v>1.1017734615332837</v>
      </c>
      <c r="B26" s="2">
        <f t="shared" si="6"/>
        <v>90</v>
      </c>
      <c r="C26" s="2">
        <f t="shared" si="7"/>
        <v>1.093772</v>
      </c>
      <c r="D26" s="2">
        <v>250</v>
      </c>
      <c r="E26" s="2">
        <f t="shared" si="9"/>
        <v>1.0958787019316409</v>
      </c>
      <c r="F26" s="2">
        <f t="shared" si="10"/>
        <v>-0.5350246495717248</v>
      </c>
    </row>
    <row r="27" spans="1:6">
      <c r="A27" s="2">
        <f t="shared" si="5"/>
        <v>1.1017734615332837</v>
      </c>
      <c r="B27" s="2">
        <f t="shared" si="6"/>
        <v>90</v>
      </c>
      <c r="C27" s="2">
        <f t="shared" si="7"/>
        <v>1.093772</v>
      </c>
      <c r="D27" s="2">
        <v>260</v>
      </c>
      <c r="E27" s="2">
        <f t="shared" si="9"/>
        <v>1.0958183978323419</v>
      </c>
      <c r="F27" s="2">
        <f t="shared" si="10"/>
        <v>-0.54049801604899583</v>
      </c>
    </row>
    <row r="28" spans="1:6">
      <c r="A28" s="2">
        <f t="shared" si="5"/>
        <v>1.1017734615332837</v>
      </c>
      <c r="B28" s="2">
        <f t="shared" si="6"/>
        <v>90</v>
      </c>
      <c r="C28" s="2">
        <f t="shared" si="7"/>
        <v>1.093772</v>
      </c>
      <c r="D28" s="2">
        <v>270</v>
      </c>
      <c r="E28" s="2">
        <f t="shared" ref="E28:E38" si="11">(B28+D28)/(B28/A28+D28/C28)</f>
        <v>1.095761450054475</v>
      </c>
      <c r="F28" s="2">
        <f t="shared" ref="F28:F38" si="12">-100*(1-E28/A28)</f>
        <v>-0.54566675353044936</v>
      </c>
    </row>
    <row r="29" spans="1:6">
      <c r="A29" s="2">
        <f t="shared" si="5"/>
        <v>1.1017734615332837</v>
      </c>
      <c r="B29" s="2">
        <f t="shared" si="6"/>
        <v>90</v>
      </c>
      <c r="C29" s="2">
        <f t="shared" si="7"/>
        <v>1.093772</v>
      </c>
      <c r="D29" s="2">
        <v>280</v>
      </c>
      <c r="E29" s="2">
        <f t="shared" si="11"/>
        <v>1.0957075859822893</v>
      </c>
      <c r="F29" s="2">
        <f t="shared" si="12"/>
        <v>-0.55055560537397019</v>
      </c>
    </row>
    <row r="30" spans="1:6">
      <c r="A30" s="2">
        <f t="shared" si="5"/>
        <v>1.1017734615332837</v>
      </c>
      <c r="B30" s="2">
        <f t="shared" si="6"/>
        <v>90</v>
      </c>
      <c r="C30" s="2">
        <f t="shared" si="7"/>
        <v>1.093772</v>
      </c>
      <c r="D30" s="2">
        <v>290</v>
      </c>
      <c r="E30" s="2">
        <f t="shared" si="11"/>
        <v>1.0956565617458729</v>
      </c>
      <c r="F30" s="2">
        <f t="shared" si="12"/>
        <v>-0.55518670588582397</v>
      </c>
    </row>
    <row r="31" spans="1:6">
      <c r="A31" s="2">
        <f t="shared" si="5"/>
        <v>1.1017734615332837</v>
      </c>
      <c r="B31" s="2">
        <f t="shared" si="6"/>
        <v>90</v>
      </c>
      <c r="C31" s="2">
        <f t="shared" si="7"/>
        <v>1.093772</v>
      </c>
      <c r="D31" s="2">
        <v>300</v>
      </c>
      <c r="E31" s="2">
        <f t="shared" si="11"/>
        <v>1.0956081585296016</v>
      </c>
      <c r="F31" s="2">
        <f t="shared" si="12"/>
        <v>-0.55957991537590734</v>
      </c>
    </row>
    <row r="32" spans="1:6">
      <c r="A32" s="2">
        <f t="shared" si="5"/>
        <v>1.1017734615332837</v>
      </c>
      <c r="B32" s="2">
        <f t="shared" si="6"/>
        <v>90</v>
      </c>
      <c r="C32" s="2">
        <f t="shared" si="7"/>
        <v>1.093772</v>
      </c>
      <c r="D32" s="2">
        <v>310</v>
      </c>
      <c r="E32" s="2">
        <f t="shared" si="11"/>
        <v>1.0955621794352273</v>
      </c>
      <c r="F32" s="2">
        <f t="shared" si="12"/>
        <v>-0.56375310487262187</v>
      </c>
    </row>
    <row r="33" spans="1:6">
      <c r="A33" s="2">
        <f t="shared" si="5"/>
        <v>1.1017734615332837</v>
      </c>
      <c r="B33" s="2">
        <f t="shared" si="6"/>
        <v>90</v>
      </c>
      <c r="C33" s="2">
        <f t="shared" si="7"/>
        <v>1.093772</v>
      </c>
      <c r="D33" s="2">
        <v>320</v>
      </c>
      <c r="E33" s="2">
        <f t="shared" si="11"/>
        <v>1.0955184468047592</v>
      </c>
      <c r="F33" s="2">
        <f t="shared" si="12"/>
        <v>-0.56772239910550804</v>
      </c>
    </row>
    <row r="34" spans="1:6">
      <c r="A34" s="2">
        <f t="shared" si="5"/>
        <v>1.1017734615332837</v>
      </c>
      <c r="B34" s="2">
        <f t="shared" si="6"/>
        <v>90</v>
      </c>
      <c r="C34" s="2">
        <f t="shared" si="7"/>
        <v>1.093772</v>
      </c>
      <c r="D34" s="2">
        <v>330</v>
      </c>
      <c r="E34" s="2">
        <f t="shared" si="11"/>
        <v>1.0954767999263875</v>
      </c>
      <c r="F34" s="2">
        <f t="shared" si="12"/>
        <v>-0.5715023847219447</v>
      </c>
    </row>
    <row r="35" spans="1:6">
      <c r="A35" s="2">
        <f t="shared" si="5"/>
        <v>1.1017734615332837</v>
      </c>
      <c r="B35" s="2">
        <f t="shared" si="6"/>
        <v>90</v>
      </c>
      <c r="C35" s="2">
        <f t="shared" si="7"/>
        <v>1.093772</v>
      </c>
      <c r="D35" s="2">
        <v>340</v>
      </c>
      <c r="E35" s="2">
        <f t="shared" si="11"/>
        <v>1.0954370930609965</v>
      </c>
      <c r="F35" s="2">
        <f t="shared" si="12"/>
        <v>-0.57510628940627972</v>
      </c>
    </row>
    <row r="36" spans="1:6">
      <c r="A36" s="2">
        <f t="shared" si="5"/>
        <v>1.1017734615332837</v>
      </c>
      <c r="B36" s="2">
        <f t="shared" si="6"/>
        <v>90</v>
      </c>
      <c r="C36" s="2">
        <f t="shared" si="7"/>
        <v>1.093772</v>
      </c>
      <c r="D36" s="2">
        <v>350</v>
      </c>
      <c r="E36" s="2">
        <f t="shared" si="11"/>
        <v>1.0953991937381919</v>
      </c>
      <c r="F36" s="2">
        <f t="shared" si="12"/>
        <v>-0.57854613653708364</v>
      </c>
    </row>
    <row r="37" spans="1:6">
      <c r="A37" s="2">
        <f t="shared" si="5"/>
        <v>1.1017734615332837</v>
      </c>
      <c r="B37" s="2">
        <f t="shared" si="6"/>
        <v>90</v>
      </c>
      <c r="C37" s="2">
        <f t="shared" si="7"/>
        <v>1.093772</v>
      </c>
      <c r="D37" s="2">
        <v>360</v>
      </c>
      <c r="E37" s="2">
        <f t="shared" si="11"/>
        <v>1.0953629812798533</v>
      </c>
      <c r="F37" s="2">
        <f t="shared" si="12"/>
        <v>-0.58183287919362225</v>
      </c>
    </row>
    <row r="38" spans="1:6">
      <c r="A38" s="2">
        <f t="shared" si="5"/>
        <v>1.1017734615332837</v>
      </c>
      <c r="B38" s="2">
        <f t="shared" si="6"/>
        <v>90</v>
      </c>
      <c r="C38" s="2">
        <f t="shared" si="7"/>
        <v>1.093772</v>
      </c>
      <c r="D38" s="2">
        <v>370</v>
      </c>
      <c r="E38" s="2">
        <f t="shared" si="11"/>
        <v>1.0953283455165417</v>
      </c>
      <c r="F38" s="2">
        <f t="shared" si="12"/>
        <v>-0.58497651665820882</v>
      </c>
    </row>
    <row r="39" spans="1:6">
      <c r="A39" s="2">
        <f t="shared" si="5"/>
        <v>1.1017734615332837</v>
      </c>
      <c r="B39" s="2">
        <f t="shared" si="6"/>
        <v>90</v>
      </c>
      <c r="C39" s="2">
        <f t="shared" si="7"/>
        <v>1.093772</v>
      </c>
      <c r="D39" s="2">
        <v>380</v>
      </c>
      <c r="E39" s="2">
        <f t="shared" ref="E39:E41" si="13">(B39+D39)/(B39/A39+D39/C39)</f>
        <v>1.0952951856679976</v>
      </c>
      <c r="F39" s="2">
        <f t="shared" ref="F39:F41" si="14">-100*(1-E39/A39)</f>
        <v>-0.5879861960253252</v>
      </c>
    </row>
    <row r="40" spans="1:6">
      <c r="A40" s="2">
        <f t="shared" si="5"/>
        <v>1.1017734615332837</v>
      </c>
      <c r="B40" s="2">
        <f t="shared" si="6"/>
        <v>90</v>
      </c>
      <c r="C40" s="2">
        <f t="shared" si="7"/>
        <v>1.093772</v>
      </c>
      <c r="D40" s="2">
        <v>390</v>
      </c>
      <c r="E40" s="2">
        <f t="shared" si="13"/>
        <v>1.0952634093637681</v>
      </c>
      <c r="F40" s="2">
        <f t="shared" si="14"/>
        <v>-0.59087030109219452</v>
      </c>
    </row>
    <row r="41" spans="1:6">
      <c r="A41" s="2">
        <f t="shared" si="5"/>
        <v>1.1017734615332837</v>
      </c>
      <c r="B41" s="2">
        <f t="shared" si="6"/>
        <v>90</v>
      </c>
      <c r="C41" s="2">
        <f t="shared" si="7"/>
        <v>1.093772</v>
      </c>
      <c r="D41" s="2">
        <v>400</v>
      </c>
      <c r="E41" s="2">
        <f t="shared" si="13"/>
        <v>1.0952329317839171</v>
      </c>
      <c r="F41" s="2">
        <f t="shared" si="14"/>
        <v>-0.5936365303503055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001593-1</vt:lpstr>
      <vt:lpstr>000961</vt:lpstr>
      <vt:lpstr>000962</vt:lpstr>
      <vt:lpstr>001593-2</vt:lpstr>
      <vt:lpstr>suggest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齊振華</dc:creator>
  <cp:lastModifiedBy>Rocky</cp:lastModifiedBy>
  <dcterms:created xsi:type="dcterms:W3CDTF">2019-05-15T00:13:11Z</dcterms:created>
  <dcterms:modified xsi:type="dcterms:W3CDTF">2019-05-27T12:25:47Z</dcterms:modified>
</cp:coreProperties>
</file>