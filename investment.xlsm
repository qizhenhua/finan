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00" windowWidth="20100" windowHeight="7455"/>
  </bookViews>
  <sheets>
    <sheet name="001593-1" sheetId="1" r:id="rId1"/>
    <sheet name="000961" sheetId="5" r:id="rId2"/>
    <sheet name="000962" sheetId="6" r:id="rId3"/>
    <sheet name="001593-2" sheetId="4" r:id="rId4"/>
    <sheet name="suggest" sheetId="2" r:id="rId5"/>
  </sheets>
  <functionGroups builtInGroupCount="17"/>
  <calcPr calcId="144525"/>
</workbook>
</file>

<file path=xl/calcChain.xml><?xml version="1.0" encoding="utf-8"?>
<calcChain xmlns="http://schemas.openxmlformats.org/spreadsheetml/2006/main">
  <c r="J2" i="6" l="1"/>
  <c r="J2" i="5"/>
  <c r="J2" i="1"/>
  <c r="J2" i="4"/>
  <c r="D3" i="4"/>
  <c r="E3" i="4" s="1"/>
  <c r="J3" i="4"/>
  <c r="J19" i="4"/>
  <c r="D19" i="4"/>
  <c r="E19" i="4" s="1"/>
  <c r="E18" i="4"/>
  <c r="D18" i="4"/>
  <c r="J17" i="4"/>
  <c r="D17" i="4"/>
  <c r="E17" i="4" s="1"/>
  <c r="J16" i="4"/>
  <c r="D16" i="4"/>
  <c r="E16" i="4" s="1"/>
  <c r="J15" i="4"/>
  <c r="D15" i="4"/>
  <c r="E15" i="4" s="1"/>
  <c r="J14" i="4"/>
  <c r="E14" i="4"/>
  <c r="D14" i="4"/>
  <c r="J13" i="4"/>
  <c r="D13" i="4"/>
  <c r="E13" i="4" s="1"/>
  <c r="J12" i="4"/>
  <c r="D12" i="4"/>
  <c r="E12" i="4" s="1"/>
  <c r="J11" i="4"/>
  <c r="D11" i="4"/>
  <c r="E11" i="4" s="1"/>
  <c r="J10" i="4"/>
  <c r="E10" i="4"/>
  <c r="D10" i="4"/>
  <c r="J9" i="4"/>
  <c r="D9" i="4"/>
  <c r="E9" i="4" s="1"/>
  <c r="J8" i="4"/>
  <c r="D8" i="4"/>
  <c r="E8" i="4" s="1"/>
  <c r="J7" i="4"/>
  <c r="D7" i="4"/>
  <c r="E7" i="4" s="1"/>
  <c r="J6" i="4"/>
  <c r="E6" i="4"/>
  <c r="D6" i="4"/>
  <c r="J5" i="4"/>
  <c r="D5" i="4"/>
  <c r="E5" i="4" s="1"/>
  <c r="J4" i="4"/>
  <c r="D4" i="4"/>
  <c r="E4" i="4" s="1"/>
  <c r="J11" i="6"/>
  <c r="D11" i="6"/>
  <c r="E11" i="6" s="1"/>
  <c r="E10" i="6"/>
  <c r="D10" i="6"/>
  <c r="J9" i="6"/>
  <c r="E9" i="6"/>
  <c r="D9" i="6"/>
  <c r="J8" i="6"/>
  <c r="D8" i="6"/>
  <c r="E8" i="6" s="1"/>
  <c r="J7" i="6"/>
  <c r="D7" i="6"/>
  <c r="E7" i="6" s="1"/>
  <c r="J6" i="6"/>
  <c r="D6" i="6"/>
  <c r="E6" i="6" s="1"/>
  <c r="J5" i="6"/>
  <c r="E5" i="6"/>
  <c r="D5" i="6"/>
  <c r="J4" i="6"/>
  <c r="D4" i="6"/>
  <c r="E4" i="6" s="1"/>
  <c r="J3" i="6"/>
  <c r="D3" i="6"/>
  <c r="E3" i="6" s="1"/>
  <c r="F3" i="6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E17" i="5"/>
  <c r="D17" i="5"/>
  <c r="E16" i="5"/>
  <c r="D16" i="5"/>
  <c r="E15" i="5"/>
  <c r="D15" i="5"/>
  <c r="E14" i="5"/>
  <c r="D14" i="5"/>
  <c r="E13" i="5"/>
  <c r="D13" i="5"/>
  <c r="E12" i="5"/>
  <c r="D12" i="5"/>
  <c r="E11" i="5"/>
  <c r="D11" i="5"/>
  <c r="E10" i="5"/>
  <c r="D10" i="5"/>
  <c r="E9" i="5"/>
  <c r="D9" i="5"/>
  <c r="E8" i="5"/>
  <c r="D8" i="5"/>
  <c r="E7" i="5"/>
  <c r="D7" i="5"/>
  <c r="E6" i="5"/>
  <c r="D6" i="5"/>
  <c r="E5" i="5"/>
  <c r="D5" i="5"/>
  <c r="E4" i="5"/>
  <c r="D4" i="5"/>
  <c r="F3" i="5"/>
  <c r="F4" i="5" s="1"/>
  <c r="E3" i="5"/>
  <c r="G3" i="5" s="1"/>
  <c r="G4" i="5" s="1"/>
  <c r="G5" i="5" s="1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D3" i="5"/>
  <c r="D18" i="5"/>
  <c r="E18" i="5"/>
  <c r="J1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F3" i="1"/>
  <c r="G3" i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F3" i="4" l="1"/>
  <c r="F4" i="4" s="1"/>
  <c r="G3" i="4"/>
  <c r="F5" i="4"/>
  <c r="G3" i="6"/>
  <c r="G4" i="6" s="1"/>
  <c r="G5" i="6" s="1"/>
  <c r="G6" i="6" s="1"/>
  <c r="G7" i="6" s="1"/>
  <c r="G8" i="6" s="1"/>
  <c r="G9" i="6" s="1"/>
  <c r="G10" i="6" s="1"/>
  <c r="G11" i="6" s="1"/>
  <c r="H3" i="6"/>
  <c r="I3" i="6" s="1"/>
  <c r="F4" i="6"/>
  <c r="F5" i="5"/>
  <c r="H4" i="5"/>
  <c r="I4" i="5" s="1"/>
  <c r="H3" i="5"/>
  <c r="I3" i="5" s="1"/>
  <c r="F4" i="1"/>
  <c r="H3" i="1"/>
  <c r="I3" i="1" s="1"/>
  <c r="H3" i="4" l="1"/>
  <c r="I3" i="4" s="1"/>
  <c r="G4" i="4"/>
  <c r="F6" i="4"/>
  <c r="F5" i="6"/>
  <c r="H4" i="6"/>
  <c r="I4" i="6" s="1"/>
  <c r="F6" i="5"/>
  <c r="H5" i="5"/>
  <c r="I5" i="5" s="1"/>
  <c r="F5" i="1"/>
  <c r="H4" i="1"/>
  <c r="I4" i="1" s="1"/>
  <c r="M4" i="6"/>
  <c r="M8" i="5"/>
  <c r="G5" i="4" l="1"/>
  <c r="H4" i="4"/>
  <c r="I4" i="4" s="1"/>
  <c r="F7" i="4"/>
  <c r="H5" i="6"/>
  <c r="I5" i="6" s="1"/>
  <c r="F6" i="6"/>
  <c r="F7" i="5"/>
  <c r="H6" i="5"/>
  <c r="I6" i="5" s="1"/>
  <c r="F6" i="1"/>
  <c r="H5" i="1"/>
  <c r="I5" i="1" s="1"/>
  <c r="G6" i="4" l="1"/>
  <c r="H5" i="4"/>
  <c r="I5" i="4" s="1"/>
  <c r="F8" i="4"/>
  <c r="F7" i="6"/>
  <c r="H6" i="6"/>
  <c r="I6" i="6" s="1"/>
  <c r="F8" i="5"/>
  <c r="H7" i="5"/>
  <c r="I7" i="5" s="1"/>
  <c r="F7" i="1"/>
  <c r="H6" i="1"/>
  <c r="I6" i="1" s="1"/>
  <c r="G7" i="4" l="1"/>
  <c r="H6" i="4"/>
  <c r="I6" i="4" s="1"/>
  <c r="F9" i="4"/>
  <c r="H7" i="6"/>
  <c r="I7" i="6" s="1"/>
  <c r="F8" i="6"/>
  <c r="F9" i="5"/>
  <c r="H8" i="5"/>
  <c r="I8" i="5" s="1"/>
  <c r="F8" i="1"/>
  <c r="H7" i="1"/>
  <c r="I7" i="1" s="1"/>
  <c r="M9" i="1"/>
  <c r="G8" i="4" l="1"/>
  <c r="H7" i="4"/>
  <c r="I7" i="4" s="1"/>
  <c r="F10" i="4"/>
  <c r="F9" i="6"/>
  <c r="H8" i="6"/>
  <c r="I8" i="6" s="1"/>
  <c r="F10" i="5"/>
  <c r="H9" i="5"/>
  <c r="I9" i="5" s="1"/>
  <c r="F9" i="1"/>
  <c r="H8" i="1"/>
  <c r="I8" i="1" s="1"/>
  <c r="G9" i="4" l="1"/>
  <c r="H8" i="4"/>
  <c r="I8" i="4" s="1"/>
  <c r="F11" i="4"/>
  <c r="H9" i="6"/>
  <c r="F11" i="5"/>
  <c r="H10" i="5"/>
  <c r="I10" i="5" s="1"/>
  <c r="F10" i="1"/>
  <c r="H9" i="1"/>
  <c r="I9" i="1" s="1"/>
  <c r="M9" i="4"/>
  <c r="G10" i="4" l="1"/>
  <c r="H9" i="4"/>
  <c r="I9" i="4" s="1"/>
  <c r="F12" i="4"/>
  <c r="H10" i="6"/>
  <c r="I9" i="6"/>
  <c r="F12" i="5"/>
  <c r="H11" i="5"/>
  <c r="I11" i="5" s="1"/>
  <c r="F11" i="1"/>
  <c r="H10" i="1"/>
  <c r="I10" i="1" s="1"/>
  <c r="N11" i="4"/>
  <c r="N6" i="6"/>
  <c r="N10" i="5"/>
  <c r="G11" i="4" l="1"/>
  <c r="H10" i="4"/>
  <c r="I10" i="4" s="1"/>
  <c r="F13" i="4"/>
  <c r="I10" i="6"/>
  <c r="J10" i="6"/>
  <c r="F10" i="6"/>
  <c r="F11" i="6" s="1"/>
  <c r="H11" i="6" s="1"/>
  <c r="I11" i="6" s="1"/>
  <c r="F13" i="5"/>
  <c r="H12" i="5"/>
  <c r="I12" i="5" s="1"/>
  <c r="F12" i="1"/>
  <c r="H11" i="1"/>
  <c r="I11" i="1" s="1"/>
  <c r="N13" i="4"/>
  <c r="N8" i="6"/>
  <c r="N12" i="5"/>
  <c r="G12" i="4" l="1"/>
  <c r="H11" i="4"/>
  <c r="I11" i="4" s="1"/>
  <c r="F14" i="4"/>
  <c r="M8" i="6"/>
  <c r="F14" i="5"/>
  <c r="H13" i="5"/>
  <c r="I13" i="5" s="1"/>
  <c r="F13" i="1"/>
  <c r="H12" i="1"/>
  <c r="I12" i="1" s="1"/>
  <c r="G13" i="4" l="1"/>
  <c r="H12" i="4"/>
  <c r="I12" i="4" s="1"/>
  <c r="F15" i="4"/>
  <c r="F15" i="5"/>
  <c r="H14" i="5"/>
  <c r="I14" i="5" s="1"/>
  <c r="F14" i="1"/>
  <c r="H13" i="1"/>
  <c r="I13" i="1" s="1"/>
  <c r="N11" i="1"/>
  <c r="K1" i="2"/>
  <c r="A3" i="2"/>
  <c r="A4" i="2" s="1"/>
  <c r="I1" i="2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B3" i="2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E2" i="2"/>
  <c r="F2" i="2" s="1"/>
  <c r="G14" i="4" l="1"/>
  <c r="H13" i="4"/>
  <c r="I13" i="4" s="1"/>
  <c r="F16" i="4"/>
  <c r="F16" i="5"/>
  <c r="H15" i="5"/>
  <c r="I15" i="5" s="1"/>
  <c r="F15" i="1"/>
  <c r="H14" i="1"/>
  <c r="I14" i="1" s="1"/>
  <c r="N13" i="1"/>
  <c r="C19" i="2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B20" i="2"/>
  <c r="E4" i="2"/>
  <c r="F4" i="2" s="1"/>
  <c r="A5" i="2"/>
  <c r="E3" i="2"/>
  <c r="F3" i="2" s="1"/>
  <c r="G15" i="4" l="1"/>
  <c r="H14" i="4"/>
  <c r="I14" i="4" s="1"/>
  <c r="F17" i="4"/>
  <c r="F17" i="5"/>
  <c r="H16" i="5"/>
  <c r="I16" i="5" s="1"/>
  <c r="F16" i="1"/>
  <c r="H15" i="1"/>
  <c r="I15" i="1" s="1"/>
  <c r="B21" i="2"/>
  <c r="B22" i="2" s="1"/>
  <c r="A6" i="2"/>
  <c r="E5" i="2"/>
  <c r="F5" i="2" s="1"/>
  <c r="G16" i="4" l="1"/>
  <c r="H15" i="4"/>
  <c r="I15" i="4" s="1"/>
  <c r="H17" i="5"/>
  <c r="I17" i="5" s="1"/>
  <c r="F18" i="5"/>
  <c r="H16" i="1"/>
  <c r="B23" i="2"/>
  <c r="B24" i="2" s="1"/>
  <c r="A7" i="2"/>
  <c r="E6" i="2"/>
  <c r="F6" i="2" s="1"/>
  <c r="G17" i="4" l="1"/>
  <c r="H16" i="4"/>
  <c r="I16" i="4" s="1"/>
  <c r="G18" i="5"/>
  <c r="H18" i="5" s="1"/>
  <c r="I18" i="5" s="1"/>
  <c r="H17" i="1"/>
  <c r="J17" i="1" s="1"/>
  <c r="I16" i="1"/>
  <c r="B25" i="2"/>
  <c r="A8" i="2"/>
  <c r="E7" i="2"/>
  <c r="F7" i="2" s="1"/>
  <c r="G18" i="4" l="1"/>
  <c r="G19" i="4" s="1"/>
  <c r="H17" i="4"/>
  <c r="I17" i="1"/>
  <c r="F17" i="1"/>
  <c r="F18" i="1" s="1"/>
  <c r="H18" i="1" s="1"/>
  <c r="I18" i="1" s="1"/>
  <c r="L8" i="6"/>
  <c r="B26" i="2"/>
  <c r="B27" i="2" s="1"/>
  <c r="A9" i="2"/>
  <c r="E8" i="2"/>
  <c r="F8" i="2" s="1"/>
  <c r="I17" i="4" l="1"/>
  <c r="H18" i="4"/>
  <c r="L6" i="6"/>
  <c r="M6" i="6"/>
  <c r="B28" i="2"/>
  <c r="A10" i="2"/>
  <c r="E9" i="2"/>
  <c r="F9" i="2" s="1"/>
  <c r="J18" i="4" l="1"/>
  <c r="I18" i="4"/>
  <c r="F18" i="4"/>
  <c r="F19" i="4" s="1"/>
  <c r="H19" i="4" s="1"/>
  <c r="I19" i="4" s="1"/>
  <c r="B29" i="2"/>
  <c r="A11" i="2"/>
  <c r="E10" i="2"/>
  <c r="F10" i="2" s="1"/>
  <c r="B30" i="2" l="1"/>
  <c r="A12" i="2"/>
  <c r="E11" i="2"/>
  <c r="F11" i="2" s="1"/>
  <c r="B31" i="2" l="1"/>
  <c r="A13" i="2"/>
  <c r="E12" i="2"/>
  <c r="F12" i="2" s="1"/>
  <c r="M12" i="5" l="1"/>
  <c r="B32" i="2"/>
  <c r="A14" i="2"/>
  <c r="E13" i="2"/>
  <c r="F13" i="2" s="1"/>
  <c r="L12" i="5" l="1"/>
  <c r="L10" i="5" s="1"/>
  <c r="B33" i="2"/>
  <c r="A15" i="2"/>
  <c r="E14" i="2"/>
  <c r="F14" i="2" s="1"/>
  <c r="M10" i="5" l="1"/>
  <c r="L13" i="1"/>
  <c r="L11" i="1" s="1"/>
  <c r="B34" i="2"/>
  <c r="A16" i="2"/>
  <c r="E15" i="2"/>
  <c r="F15" i="2" s="1"/>
  <c r="M13" i="1" l="1"/>
  <c r="M11" i="1"/>
  <c r="B35" i="2"/>
  <c r="A17" i="2"/>
  <c r="A18" i="2" s="1"/>
  <c r="E16" i="2"/>
  <c r="F16" i="2" s="1"/>
  <c r="M13" i="4" l="1"/>
  <c r="B36" i="2"/>
  <c r="A19" i="2"/>
  <c r="E18" i="2"/>
  <c r="F18" i="2" s="1"/>
  <c r="E17" i="2"/>
  <c r="F17" i="2" s="1"/>
  <c r="L13" i="4" l="1"/>
  <c r="B37" i="2"/>
  <c r="A20" i="2"/>
  <c r="E19" i="2"/>
  <c r="F19" i="2" s="1"/>
  <c r="L11" i="4" l="1"/>
  <c r="M11" i="4"/>
  <c r="B38" i="2"/>
  <c r="A21" i="2"/>
  <c r="E20" i="2"/>
  <c r="F20" i="2" s="1"/>
  <c r="B39" i="2" l="1"/>
  <c r="E21" i="2"/>
  <c r="F21" i="2" s="1"/>
  <c r="A22" i="2"/>
  <c r="A23" i="2" l="1"/>
  <c r="E22" i="2"/>
  <c r="F22" i="2" s="1"/>
  <c r="B40" i="2"/>
  <c r="B41" i="2" s="1"/>
  <c r="E23" i="2" l="1"/>
  <c r="F23" i="2" s="1"/>
  <c r="A24" i="2"/>
  <c r="A25" i="2" l="1"/>
  <c r="E24" i="2"/>
  <c r="F24" i="2" s="1"/>
  <c r="A26" i="2" l="1"/>
  <c r="E25" i="2"/>
  <c r="F25" i="2" s="1"/>
  <c r="E26" i="2" l="1"/>
  <c r="F26" i="2" s="1"/>
  <c r="A27" i="2"/>
  <c r="A28" i="2" l="1"/>
  <c r="E27" i="2"/>
  <c r="F27" i="2" s="1"/>
  <c r="A29" i="2" l="1"/>
  <c r="E28" i="2"/>
  <c r="F28" i="2" s="1"/>
  <c r="A30" i="2" l="1"/>
  <c r="E29" i="2"/>
  <c r="F29" i="2" s="1"/>
  <c r="A31" i="2" l="1"/>
  <c r="E30" i="2"/>
  <c r="F30" i="2" s="1"/>
  <c r="A32" i="2" l="1"/>
  <c r="E31" i="2"/>
  <c r="F31" i="2" s="1"/>
  <c r="A33" i="2" l="1"/>
  <c r="E32" i="2"/>
  <c r="F32" i="2" s="1"/>
  <c r="A34" i="2" l="1"/>
  <c r="E33" i="2"/>
  <c r="F33" i="2" s="1"/>
  <c r="A35" i="2" l="1"/>
  <c r="E34" i="2"/>
  <c r="F34" i="2" s="1"/>
  <c r="A36" i="2" l="1"/>
  <c r="E35" i="2"/>
  <c r="F35" i="2" s="1"/>
  <c r="A37" i="2" l="1"/>
  <c r="E36" i="2"/>
  <c r="F36" i="2" s="1"/>
  <c r="A38" i="2" l="1"/>
  <c r="E37" i="2"/>
  <c r="F37" i="2" s="1"/>
  <c r="A39" i="2" l="1"/>
  <c r="E38" i="2"/>
  <c r="F38" i="2" s="1"/>
  <c r="A40" i="2" l="1"/>
  <c r="E39" i="2"/>
  <c r="F39" i="2" s="1"/>
  <c r="E40" i="2" l="1"/>
  <c r="F40" i="2" s="1"/>
  <c r="A41" i="2"/>
  <c r="E41" i="2" s="1"/>
  <c r="F41" i="2" s="1"/>
</calcChain>
</file>

<file path=xl/comments1.xml><?xml version="1.0" encoding="utf-8"?>
<comments xmlns="http://schemas.openxmlformats.org/spreadsheetml/2006/main">
  <authors>
    <author>齊振華</author>
  </authors>
  <commentList>
    <comment ref="F2" authorId="0">
      <text>
        <r>
          <rPr>
            <b/>
            <sz val="9"/>
            <color indexed="81"/>
            <rFont val="細明體"/>
            <family val="3"/>
            <charset val="136"/>
          </rPr>
          <t>投資</t>
        </r>
        <r>
          <rPr>
            <b/>
            <sz val="9"/>
            <color indexed="81"/>
            <rFont val="Tahoma"/>
            <family val="2"/>
          </rPr>
          <t>10,</t>
        </r>
        <r>
          <rPr>
            <b/>
            <sz val="9"/>
            <color indexed="81"/>
            <rFont val="細明體"/>
            <family val="3"/>
            <charset val="136"/>
          </rPr>
          <t>將庫存價格拉偏離的的點數</t>
        </r>
      </text>
    </comment>
  </commentList>
</comments>
</file>

<file path=xl/sharedStrings.xml><?xml version="1.0" encoding="utf-8"?>
<sst xmlns="http://schemas.openxmlformats.org/spreadsheetml/2006/main" count="141" uniqueCount="49">
  <si>
    <t>Date</t>
    <phoneticPr fontId="1" type="noConversion"/>
  </si>
  <si>
    <t>Price</t>
    <phoneticPr fontId="1" type="noConversion"/>
  </si>
  <si>
    <t>Invent</t>
    <phoneticPr fontId="1" type="noConversion"/>
  </si>
  <si>
    <t>Share</t>
    <phoneticPr fontId="1" type="noConversion"/>
  </si>
  <si>
    <t>2019-05-06</t>
    <phoneticPr fontId="1" type="noConversion"/>
  </si>
  <si>
    <t>2019-05-07</t>
  </si>
  <si>
    <t>2019-05-08</t>
  </si>
  <si>
    <t>2019-05-09</t>
  </si>
  <si>
    <t>2019-05-10</t>
  </si>
  <si>
    <t>2019-05-13</t>
    <phoneticPr fontId="1" type="noConversion"/>
  </si>
  <si>
    <t>2019-05-14</t>
    <phoneticPr fontId="1" type="noConversion"/>
  </si>
  <si>
    <t>Cumulate Invent</t>
    <phoneticPr fontId="1" type="noConversion"/>
  </si>
  <si>
    <t>Cumulate share</t>
    <phoneticPr fontId="1" type="noConversion"/>
  </si>
  <si>
    <t>stockprice</t>
    <phoneticPr fontId="1" type="noConversion"/>
  </si>
  <si>
    <t>balance rate</t>
    <phoneticPr fontId="1" type="noConversion"/>
  </si>
  <si>
    <t>Deduct</t>
    <phoneticPr fontId="1" type="noConversion"/>
  </si>
  <si>
    <t>deduct</t>
    <phoneticPr fontId="1" type="noConversion"/>
  </si>
  <si>
    <t>2019-05-15</t>
    <phoneticPr fontId="1" type="noConversion"/>
  </si>
  <si>
    <t>suggest:</t>
    <phoneticPr fontId="1" type="noConversion"/>
  </si>
  <si>
    <t>P1
(stock)fix</t>
    <phoneticPr fontId="1" type="noConversion"/>
  </si>
  <si>
    <t>M1
(stock)fix</t>
    <phoneticPr fontId="1" type="noConversion"/>
  </si>
  <si>
    <t>M2
invent</t>
    <phoneticPr fontId="1" type="noConversion"/>
  </si>
  <si>
    <t>P
average</t>
    <phoneticPr fontId="1" type="noConversion"/>
  </si>
  <si>
    <t>stock price
increased(%)</t>
    <phoneticPr fontId="1" type="noConversion"/>
  </si>
  <si>
    <t>P2
(Market)fix</t>
    <phoneticPr fontId="1" type="noConversion"/>
  </si>
  <si>
    <t>Todays Market</t>
    <phoneticPr fontId="1" type="noConversion"/>
  </si>
  <si>
    <t>Stockprice:</t>
    <phoneticPr fontId="1" type="noConversion"/>
  </si>
  <si>
    <t>MInvested:</t>
    <phoneticPr fontId="1" type="noConversion"/>
  </si>
  <si>
    <t>Today is: Xth</t>
    <phoneticPr fontId="1" type="noConversion"/>
  </si>
  <si>
    <t>Input estimate:%</t>
    <phoneticPr fontId="1" type="noConversion"/>
  </si>
  <si>
    <t>balance rate:%</t>
    <phoneticPr fontId="1" type="noConversion"/>
  </si>
  <si>
    <t>Cotrol rate:</t>
    <phoneticPr fontId="1" type="noConversion"/>
  </si>
  <si>
    <t>Last Market</t>
    <phoneticPr fontId="1" type="noConversion"/>
  </si>
  <si>
    <t>2019-05-16</t>
    <phoneticPr fontId="1" type="noConversion"/>
  </si>
  <si>
    <t>balance rate:%</t>
    <phoneticPr fontId="1" type="noConversion"/>
  </si>
  <si>
    <t>2019-05-17</t>
  </si>
  <si>
    <t>2019-05-20</t>
    <phoneticPr fontId="1" type="noConversion"/>
  </si>
  <si>
    <t>2019-05-21</t>
    <phoneticPr fontId="1" type="noConversion"/>
  </si>
  <si>
    <t>2019-05-22</t>
    <phoneticPr fontId="1" type="noConversion"/>
  </si>
  <si>
    <t>2019-05-16</t>
    <phoneticPr fontId="1" type="noConversion"/>
  </si>
  <si>
    <t>2019-05-17</t>
    <phoneticPr fontId="1" type="noConversion"/>
  </si>
  <si>
    <t>2019-05-23</t>
    <phoneticPr fontId="1" type="noConversion"/>
  </si>
  <si>
    <t>2019-05-24</t>
    <phoneticPr fontId="1" type="noConversion"/>
  </si>
  <si>
    <t>2019-05-27</t>
    <phoneticPr fontId="1" type="noConversion"/>
  </si>
  <si>
    <t>2019-05-28</t>
    <phoneticPr fontId="1" type="noConversion"/>
  </si>
  <si>
    <t>2019-05-28</t>
    <phoneticPr fontId="1" type="noConversion"/>
  </si>
  <si>
    <t>Bonus</t>
    <phoneticPr fontId="1" type="noConversion"/>
  </si>
  <si>
    <t>2019-05-27</t>
    <phoneticPr fontId="1" type="noConversion"/>
  </si>
  <si>
    <t>start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</si>
</sst>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2"/>
      <color theme="1"/>
      <name val="新細明體"/>
      <family val="2"/>
      <charset val="136"/>
    </font>
    <font>
      <sz val="9"/>
      <name val="新細明體"/>
      <family val="2"/>
      <charset val="136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1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4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0" borderId="0" xfId="0" applyNumberFormat="1" applyFont="1">
      <alignment vertical="center"/>
    </xf>
    <xf numFmtId="0" fontId="4" fillId="0" borderId="1" xfId="0" applyFont="1" applyBorder="1">
      <alignment vertical="center"/>
    </xf>
    <xf numFmtId="0" fontId="4" fillId="0" borderId="0" xfId="0" applyFont="1" applyBorder="1">
      <alignment vertical="center"/>
    </xf>
    <xf numFmtId="10" fontId="4" fillId="0" borderId="0" xfId="0" applyNumberFormat="1" applyFont="1">
      <alignment vertical="center"/>
    </xf>
    <xf numFmtId="10" fontId="4" fillId="2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0" fontId="4" fillId="0" borderId="0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4" borderId="0" xfId="0" applyFont="1" applyFill="1">
      <alignment vertical="center"/>
    </xf>
    <xf numFmtId="10" fontId="4" fillId="4" borderId="0" xfId="0" applyNumberFormat="1" applyFont="1" applyFill="1">
      <alignment vertical="center"/>
    </xf>
    <xf numFmtId="0" fontId="4" fillId="4" borderId="0" xfId="0" applyNumberFormat="1" applyFon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'001593-1'!$A$3:$A$18</c:f>
              <c:strCache>
                <c:ptCount val="16"/>
                <c:pt idx="0">
                  <c:v>2019-05-07</c:v>
                </c:pt>
                <c:pt idx="1">
                  <c:v>2019-05-08</c:v>
                </c:pt>
                <c:pt idx="2">
                  <c:v>2019-05-09</c:v>
                </c:pt>
                <c:pt idx="3">
                  <c:v>2019-05-10</c:v>
                </c:pt>
                <c:pt idx="4">
                  <c:v>2019-05-13</c:v>
                </c:pt>
                <c:pt idx="5">
                  <c:v>2019-05-14</c:v>
                </c:pt>
                <c:pt idx="6">
                  <c:v>2019-05-15</c:v>
                </c:pt>
                <c:pt idx="7">
                  <c:v>2019-05-16</c:v>
                </c:pt>
                <c:pt idx="8">
                  <c:v>2019-05-17</c:v>
                </c:pt>
                <c:pt idx="9">
                  <c:v>2019-05-20</c:v>
                </c:pt>
                <c:pt idx="10">
                  <c:v>2019-05-21</c:v>
                </c:pt>
                <c:pt idx="11">
                  <c:v>2019-05-22</c:v>
                </c:pt>
                <c:pt idx="12">
                  <c:v>2019-05-23</c:v>
                </c:pt>
                <c:pt idx="13">
                  <c:v>2019-05-24</c:v>
                </c:pt>
                <c:pt idx="14">
                  <c:v>2019-05-27</c:v>
                </c:pt>
                <c:pt idx="15">
                  <c:v>2019-05-28</c:v>
                </c:pt>
              </c:strCache>
            </c:strRef>
          </c:cat>
          <c:val>
            <c:numRef>
              <c:f>'001593-1'!$B$3:$B$18</c:f>
              <c:numCache>
                <c:formatCode>General</c:formatCode>
                <c:ptCount val="16"/>
                <c:pt idx="0">
                  <c:v>0.5978</c:v>
                </c:pt>
                <c:pt idx="1">
                  <c:v>0.58940000000000003</c:v>
                </c:pt>
                <c:pt idx="2">
                  <c:v>0.58479999999999999</c:v>
                </c:pt>
                <c:pt idx="3">
                  <c:v>0.60899999999999999</c:v>
                </c:pt>
                <c:pt idx="4">
                  <c:v>0.59730000000000005</c:v>
                </c:pt>
                <c:pt idx="5">
                  <c:v>0.59419999999999995</c:v>
                </c:pt>
                <c:pt idx="6">
                  <c:v>0.6069</c:v>
                </c:pt>
                <c:pt idx="7">
                  <c:v>0.6089</c:v>
                </c:pt>
                <c:pt idx="8">
                  <c:v>0.58789999999999998</c:v>
                </c:pt>
                <c:pt idx="9">
                  <c:v>0.58440000000000003</c:v>
                </c:pt>
                <c:pt idx="10">
                  <c:v>0.59340000000000004</c:v>
                </c:pt>
                <c:pt idx="11">
                  <c:v>0.59160000000000001</c:v>
                </c:pt>
                <c:pt idx="12">
                  <c:v>0.5776</c:v>
                </c:pt>
                <c:pt idx="13">
                  <c:v>0.57469999999999999</c:v>
                </c:pt>
                <c:pt idx="14">
                  <c:v>0.59389999999999998</c:v>
                </c:pt>
                <c:pt idx="15">
                  <c:v>0.5978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strRef>
              <c:f>'001593-1'!$A$3:$A$18</c:f>
              <c:strCache>
                <c:ptCount val="16"/>
                <c:pt idx="0">
                  <c:v>2019-05-07</c:v>
                </c:pt>
                <c:pt idx="1">
                  <c:v>2019-05-08</c:v>
                </c:pt>
                <c:pt idx="2">
                  <c:v>2019-05-09</c:v>
                </c:pt>
                <c:pt idx="3">
                  <c:v>2019-05-10</c:v>
                </c:pt>
                <c:pt idx="4">
                  <c:v>2019-05-13</c:v>
                </c:pt>
                <c:pt idx="5">
                  <c:v>2019-05-14</c:v>
                </c:pt>
                <c:pt idx="6">
                  <c:v>2019-05-15</c:v>
                </c:pt>
                <c:pt idx="7">
                  <c:v>2019-05-16</c:v>
                </c:pt>
                <c:pt idx="8">
                  <c:v>2019-05-17</c:v>
                </c:pt>
                <c:pt idx="9">
                  <c:v>2019-05-20</c:v>
                </c:pt>
                <c:pt idx="10">
                  <c:v>2019-05-21</c:v>
                </c:pt>
                <c:pt idx="11">
                  <c:v>2019-05-22</c:v>
                </c:pt>
                <c:pt idx="12">
                  <c:v>2019-05-23</c:v>
                </c:pt>
                <c:pt idx="13">
                  <c:v>2019-05-24</c:v>
                </c:pt>
                <c:pt idx="14">
                  <c:v>2019-05-27</c:v>
                </c:pt>
                <c:pt idx="15">
                  <c:v>2019-05-28</c:v>
                </c:pt>
              </c:strCache>
            </c:strRef>
          </c:cat>
          <c:val>
            <c:numRef>
              <c:f>'001593-1'!$H$3:$H$18</c:f>
              <c:numCache>
                <c:formatCode>General</c:formatCode>
                <c:ptCount val="16"/>
                <c:pt idx="0">
                  <c:v>0.5978</c:v>
                </c:pt>
                <c:pt idx="1">
                  <c:v>0.59357028301886783</c:v>
                </c:pt>
                <c:pt idx="2">
                  <c:v>0.5906177721787057</c:v>
                </c:pt>
                <c:pt idx="3">
                  <c:v>0.59510850291721706</c:v>
                </c:pt>
                <c:pt idx="4">
                  <c:v>0.59604574372124264</c:v>
                </c:pt>
                <c:pt idx="5">
                  <c:v>0.59581439891187338</c:v>
                </c:pt>
                <c:pt idx="6">
                  <c:v>0.59702609278489216</c:v>
                </c:pt>
                <c:pt idx="7">
                  <c:v>0.59819260345498393</c:v>
                </c:pt>
                <c:pt idx="8">
                  <c:v>0.59357396352921477</c:v>
                </c:pt>
                <c:pt idx="9">
                  <c:v>0.59308394853285296</c:v>
                </c:pt>
                <c:pt idx="10">
                  <c:v>0.59309974311020164</c:v>
                </c:pt>
                <c:pt idx="11">
                  <c:v>0.59259898457727833</c:v>
                </c:pt>
                <c:pt idx="12">
                  <c:v>0.59163876332917253</c:v>
                </c:pt>
                <c:pt idx="13">
                  <c:v>0.58817159802695584</c:v>
                </c:pt>
                <c:pt idx="14">
                  <c:v>0.58817159802695584</c:v>
                </c:pt>
                <c:pt idx="15">
                  <c:v>0.58817159802695573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64064"/>
        <c:axId val="131865600"/>
      </c:lineChart>
      <c:catAx>
        <c:axId val="131864064"/>
        <c:scaling>
          <c:orientation val="minMax"/>
        </c:scaling>
        <c:delete val="0"/>
        <c:axPos val="b"/>
        <c:majorTickMark val="out"/>
        <c:minorTickMark val="none"/>
        <c:tickLblPos val="nextTo"/>
        <c:crossAx val="131865600"/>
        <c:crosses val="autoZero"/>
        <c:auto val="1"/>
        <c:lblAlgn val="ctr"/>
        <c:lblOffset val="100"/>
        <c:noMultiLvlLbl val="0"/>
      </c:catAx>
      <c:valAx>
        <c:axId val="1318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864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'000961'!$A$3:$A$18</c:f>
              <c:strCache>
                <c:ptCount val="16"/>
                <c:pt idx="0">
                  <c:v>2019-05-07</c:v>
                </c:pt>
                <c:pt idx="1">
                  <c:v>2019-05-08</c:v>
                </c:pt>
                <c:pt idx="2">
                  <c:v>2019-05-09</c:v>
                </c:pt>
                <c:pt idx="3">
                  <c:v>2019-05-10</c:v>
                </c:pt>
                <c:pt idx="4">
                  <c:v>2019-05-13</c:v>
                </c:pt>
                <c:pt idx="5">
                  <c:v>2019-05-14</c:v>
                </c:pt>
                <c:pt idx="6">
                  <c:v>2019-05-15</c:v>
                </c:pt>
                <c:pt idx="7">
                  <c:v>2019-05-16</c:v>
                </c:pt>
                <c:pt idx="8">
                  <c:v>2019-05-17</c:v>
                </c:pt>
                <c:pt idx="9">
                  <c:v>2019-05-20</c:v>
                </c:pt>
                <c:pt idx="10">
                  <c:v>2019-05-21</c:v>
                </c:pt>
                <c:pt idx="11">
                  <c:v>2019-05-22</c:v>
                </c:pt>
                <c:pt idx="12">
                  <c:v>2019-05-23</c:v>
                </c:pt>
                <c:pt idx="13">
                  <c:v>2019-05-24</c:v>
                </c:pt>
                <c:pt idx="14">
                  <c:v>2019-05-27</c:v>
                </c:pt>
                <c:pt idx="15">
                  <c:v>2019-05-28</c:v>
                </c:pt>
              </c:strCache>
            </c:strRef>
          </c:cat>
          <c:val>
            <c:numRef>
              <c:f>'000961'!$B$3:$B$18</c:f>
              <c:numCache>
                <c:formatCode>General</c:formatCode>
                <c:ptCount val="16"/>
                <c:pt idx="0">
                  <c:v>1.1145</c:v>
                </c:pt>
                <c:pt idx="1">
                  <c:v>1.0996999999999999</c:v>
                </c:pt>
                <c:pt idx="2">
                  <c:v>1.0806</c:v>
                </c:pt>
                <c:pt idx="3">
                  <c:v>1.1174999999999999</c:v>
                </c:pt>
                <c:pt idx="4">
                  <c:v>1.1001000000000001</c:v>
                </c:pt>
                <c:pt idx="5">
                  <c:v>1.0935999999999999</c:v>
                </c:pt>
                <c:pt idx="6">
                  <c:v>1.117</c:v>
                </c:pt>
                <c:pt idx="7">
                  <c:v>1.1215999999999999</c:v>
                </c:pt>
                <c:pt idx="8">
                  <c:v>1.0944</c:v>
                </c:pt>
                <c:pt idx="9">
                  <c:v>1.0857000000000001</c:v>
                </c:pt>
                <c:pt idx="10">
                  <c:v>1.0995999999999999</c:v>
                </c:pt>
                <c:pt idx="11">
                  <c:v>1.0948</c:v>
                </c:pt>
                <c:pt idx="12">
                  <c:v>1.0777000000000001</c:v>
                </c:pt>
                <c:pt idx="13">
                  <c:v>1.0807</c:v>
                </c:pt>
                <c:pt idx="14">
                  <c:v>1.0934999999999999</c:v>
                </c:pt>
                <c:pt idx="15">
                  <c:v>1.1037999999999999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strRef>
              <c:f>'000961'!$A$3:$A$18</c:f>
              <c:strCache>
                <c:ptCount val="16"/>
                <c:pt idx="0">
                  <c:v>2019-05-07</c:v>
                </c:pt>
                <c:pt idx="1">
                  <c:v>2019-05-08</c:v>
                </c:pt>
                <c:pt idx="2">
                  <c:v>2019-05-09</c:v>
                </c:pt>
                <c:pt idx="3">
                  <c:v>2019-05-10</c:v>
                </c:pt>
                <c:pt idx="4">
                  <c:v>2019-05-13</c:v>
                </c:pt>
                <c:pt idx="5">
                  <c:v>2019-05-14</c:v>
                </c:pt>
                <c:pt idx="6">
                  <c:v>2019-05-15</c:v>
                </c:pt>
                <c:pt idx="7">
                  <c:v>2019-05-16</c:v>
                </c:pt>
                <c:pt idx="8">
                  <c:v>2019-05-17</c:v>
                </c:pt>
                <c:pt idx="9">
                  <c:v>2019-05-20</c:v>
                </c:pt>
                <c:pt idx="10">
                  <c:v>2019-05-21</c:v>
                </c:pt>
                <c:pt idx="11">
                  <c:v>2019-05-22</c:v>
                </c:pt>
                <c:pt idx="12">
                  <c:v>2019-05-23</c:v>
                </c:pt>
                <c:pt idx="13">
                  <c:v>2019-05-24</c:v>
                </c:pt>
                <c:pt idx="14">
                  <c:v>2019-05-27</c:v>
                </c:pt>
                <c:pt idx="15">
                  <c:v>2019-05-28</c:v>
                </c:pt>
              </c:strCache>
            </c:strRef>
          </c:cat>
          <c:val>
            <c:numRef>
              <c:f>'000961'!$H$3:$H$18</c:f>
              <c:numCache>
                <c:formatCode>General</c:formatCode>
                <c:ptCount val="16"/>
                <c:pt idx="0">
                  <c:v>1.1156156156156156</c:v>
                </c:pt>
                <c:pt idx="1">
                  <c:v>1.1156156156156156</c:v>
                </c:pt>
                <c:pt idx="2">
                  <c:v>1.1156156156156156</c:v>
                </c:pt>
                <c:pt idx="3">
                  <c:v>1.1171150989699377</c:v>
                </c:pt>
                <c:pt idx="4">
                  <c:v>1.1171150989699377</c:v>
                </c:pt>
                <c:pt idx="5">
                  <c:v>1.1010081631099082</c:v>
                </c:pt>
                <c:pt idx="6">
                  <c:v>1.103118215564475</c:v>
                </c:pt>
                <c:pt idx="7">
                  <c:v>1.1069841529524693</c:v>
                </c:pt>
                <c:pt idx="8">
                  <c:v>1.1050526720725755</c:v>
                </c:pt>
                <c:pt idx="9">
                  <c:v>1.1036258333674613</c:v>
                </c:pt>
                <c:pt idx="10">
                  <c:v>1.1034163798221228</c:v>
                </c:pt>
                <c:pt idx="11">
                  <c:v>1.0993926570885022</c:v>
                </c:pt>
                <c:pt idx="12">
                  <c:v>1.0980812370920625</c:v>
                </c:pt>
                <c:pt idx="13">
                  <c:v>1.0966649196939695</c:v>
                </c:pt>
                <c:pt idx="14">
                  <c:v>1.0964057008639108</c:v>
                </c:pt>
                <c:pt idx="15">
                  <c:v>1.0964057008639108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6368"/>
        <c:axId val="41878656"/>
      </c:lineChart>
      <c:catAx>
        <c:axId val="41786368"/>
        <c:scaling>
          <c:orientation val="minMax"/>
        </c:scaling>
        <c:delete val="0"/>
        <c:axPos val="b"/>
        <c:majorTickMark val="out"/>
        <c:minorTickMark val="none"/>
        <c:tickLblPos val="nextTo"/>
        <c:crossAx val="41878656"/>
        <c:crosses val="autoZero"/>
        <c:auto val="1"/>
        <c:lblAlgn val="ctr"/>
        <c:lblOffset val="100"/>
        <c:noMultiLvlLbl val="0"/>
      </c:catAx>
      <c:valAx>
        <c:axId val="41878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7863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'000962'!$A$3:$A$11</c:f>
              <c:strCache>
                <c:ptCount val="9"/>
                <c:pt idx="0">
                  <c:v>2019-05-16</c:v>
                </c:pt>
                <c:pt idx="1">
                  <c:v>2019-05-17</c:v>
                </c:pt>
                <c:pt idx="2">
                  <c:v>2019-05-20</c:v>
                </c:pt>
                <c:pt idx="3">
                  <c:v>2019-05-21</c:v>
                </c:pt>
                <c:pt idx="4">
                  <c:v>2019-05-22</c:v>
                </c:pt>
                <c:pt idx="5">
                  <c:v>2019-05-23</c:v>
                </c:pt>
                <c:pt idx="6">
                  <c:v>2019-05-24</c:v>
                </c:pt>
                <c:pt idx="7">
                  <c:v>2019-05-27</c:v>
                </c:pt>
                <c:pt idx="8">
                  <c:v>2019-05-28</c:v>
                </c:pt>
              </c:strCache>
            </c:strRef>
          </c:cat>
          <c:val>
            <c:numRef>
              <c:f>'000962'!$B$3:$B$11</c:f>
              <c:numCache>
                <c:formatCode>General</c:formatCode>
                <c:ptCount val="9"/>
                <c:pt idx="0">
                  <c:v>0.86750000000000005</c:v>
                </c:pt>
                <c:pt idx="1">
                  <c:v>0.84089999999999998</c:v>
                </c:pt>
                <c:pt idx="2">
                  <c:v>0.83809999999999996</c:v>
                </c:pt>
                <c:pt idx="3">
                  <c:v>0.85229999999999995</c:v>
                </c:pt>
                <c:pt idx="4">
                  <c:v>0.84719999999999995</c:v>
                </c:pt>
                <c:pt idx="5">
                  <c:v>0.83099999999999996</c:v>
                </c:pt>
                <c:pt idx="6">
                  <c:v>0.82630000000000003</c:v>
                </c:pt>
                <c:pt idx="7">
                  <c:v>0.84599999999999997</c:v>
                </c:pt>
                <c:pt idx="8">
                  <c:v>0.84489999999999998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strRef>
              <c:f>'000962'!$A$3:$A$11</c:f>
              <c:strCache>
                <c:ptCount val="9"/>
                <c:pt idx="0">
                  <c:v>2019-05-16</c:v>
                </c:pt>
                <c:pt idx="1">
                  <c:v>2019-05-17</c:v>
                </c:pt>
                <c:pt idx="2">
                  <c:v>2019-05-20</c:v>
                </c:pt>
                <c:pt idx="3">
                  <c:v>2019-05-21</c:v>
                </c:pt>
                <c:pt idx="4">
                  <c:v>2019-05-22</c:v>
                </c:pt>
                <c:pt idx="5">
                  <c:v>2019-05-23</c:v>
                </c:pt>
                <c:pt idx="6">
                  <c:v>2019-05-24</c:v>
                </c:pt>
                <c:pt idx="7">
                  <c:v>2019-05-27</c:v>
                </c:pt>
                <c:pt idx="8">
                  <c:v>2019-05-28</c:v>
                </c:pt>
              </c:strCache>
            </c:strRef>
          </c:cat>
          <c:val>
            <c:numRef>
              <c:f>'000962'!$H$3:$H$11</c:f>
              <c:numCache>
                <c:formatCode>General</c:formatCode>
                <c:ptCount val="9"/>
                <c:pt idx="0">
                  <c:v>0.86836836836836839</c:v>
                </c:pt>
                <c:pt idx="1">
                  <c:v>0.85414780788508704</c:v>
                </c:pt>
                <c:pt idx="2">
                  <c:v>0.85337427974256008</c:v>
                </c:pt>
                <c:pt idx="3">
                  <c:v>0.85336374730576159</c:v>
                </c:pt>
                <c:pt idx="4">
                  <c:v>0.85176205353635071</c:v>
                </c:pt>
                <c:pt idx="5">
                  <c:v>0.85048847701107511</c:v>
                </c:pt>
                <c:pt idx="6">
                  <c:v>0.84571122928694875</c:v>
                </c:pt>
                <c:pt idx="7">
                  <c:v>0.84571122928694875</c:v>
                </c:pt>
                <c:pt idx="8">
                  <c:v>0.84571122928694875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795648"/>
        <c:axId val="262797184"/>
      </c:lineChart>
      <c:catAx>
        <c:axId val="262795648"/>
        <c:scaling>
          <c:orientation val="minMax"/>
        </c:scaling>
        <c:delete val="0"/>
        <c:axPos val="b"/>
        <c:majorTickMark val="out"/>
        <c:minorTickMark val="none"/>
        <c:tickLblPos val="nextTo"/>
        <c:crossAx val="262797184"/>
        <c:crosses val="autoZero"/>
        <c:auto val="1"/>
        <c:lblAlgn val="ctr"/>
        <c:lblOffset val="100"/>
        <c:noMultiLvlLbl val="0"/>
      </c:catAx>
      <c:valAx>
        <c:axId val="262797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795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'001593-2'!$A$3:$A$19</c:f>
              <c:strCache>
                <c:ptCount val="17"/>
                <c:pt idx="0">
                  <c:v>2019-05-06</c:v>
                </c:pt>
                <c:pt idx="1">
                  <c:v>2019-05-07</c:v>
                </c:pt>
                <c:pt idx="2">
                  <c:v>2019-05-08</c:v>
                </c:pt>
                <c:pt idx="3">
                  <c:v>2019-05-09</c:v>
                </c:pt>
                <c:pt idx="4">
                  <c:v>2019-05-10</c:v>
                </c:pt>
                <c:pt idx="5">
                  <c:v>2019-05-13</c:v>
                </c:pt>
                <c:pt idx="6">
                  <c:v>2019-05-14</c:v>
                </c:pt>
                <c:pt idx="7">
                  <c:v>2019-05-15</c:v>
                </c:pt>
                <c:pt idx="8">
                  <c:v>2019-05-16</c:v>
                </c:pt>
                <c:pt idx="9">
                  <c:v>2019-05-17</c:v>
                </c:pt>
                <c:pt idx="10">
                  <c:v>2019-05-20</c:v>
                </c:pt>
                <c:pt idx="11">
                  <c:v>2019-05-21</c:v>
                </c:pt>
                <c:pt idx="12">
                  <c:v>2019-05-22</c:v>
                </c:pt>
                <c:pt idx="13">
                  <c:v>2019-05-23</c:v>
                </c:pt>
                <c:pt idx="14">
                  <c:v>2019-05-24</c:v>
                </c:pt>
                <c:pt idx="15">
                  <c:v>2019-05-27</c:v>
                </c:pt>
                <c:pt idx="16">
                  <c:v>2019-05-28</c:v>
                </c:pt>
              </c:strCache>
            </c:strRef>
          </c:cat>
          <c:val>
            <c:numRef>
              <c:f>'001593-2'!$B$3:$B$19</c:f>
              <c:numCache>
                <c:formatCode>General</c:formatCode>
                <c:ptCount val="17"/>
                <c:pt idx="0">
                  <c:v>0.59440000000000004</c:v>
                </c:pt>
                <c:pt idx="1">
                  <c:v>0.5978</c:v>
                </c:pt>
                <c:pt idx="2">
                  <c:v>0.58940000000000003</c:v>
                </c:pt>
                <c:pt idx="3">
                  <c:v>0.58479999999999999</c:v>
                </c:pt>
                <c:pt idx="4">
                  <c:v>0.60899999999999999</c:v>
                </c:pt>
                <c:pt idx="5">
                  <c:v>0.59730000000000005</c:v>
                </c:pt>
                <c:pt idx="6">
                  <c:v>0.59419999999999995</c:v>
                </c:pt>
                <c:pt idx="7">
                  <c:v>0.6069</c:v>
                </c:pt>
                <c:pt idx="8">
                  <c:v>0.6089</c:v>
                </c:pt>
                <c:pt idx="9">
                  <c:v>0.58789999999999998</c:v>
                </c:pt>
                <c:pt idx="10">
                  <c:v>0.58440000000000003</c:v>
                </c:pt>
                <c:pt idx="11">
                  <c:v>0.59340000000000004</c:v>
                </c:pt>
                <c:pt idx="12">
                  <c:v>0.59160000000000001</c:v>
                </c:pt>
                <c:pt idx="13">
                  <c:v>0.5776</c:v>
                </c:pt>
                <c:pt idx="14">
                  <c:v>0.57469999999999999</c:v>
                </c:pt>
                <c:pt idx="15">
                  <c:v>0.59279999999999999</c:v>
                </c:pt>
                <c:pt idx="16">
                  <c:v>0.5978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strRef>
              <c:f>'001593-2'!$A$3:$A$19</c:f>
              <c:strCache>
                <c:ptCount val="17"/>
                <c:pt idx="0">
                  <c:v>2019-05-06</c:v>
                </c:pt>
                <c:pt idx="1">
                  <c:v>2019-05-07</c:v>
                </c:pt>
                <c:pt idx="2">
                  <c:v>2019-05-08</c:v>
                </c:pt>
                <c:pt idx="3">
                  <c:v>2019-05-09</c:v>
                </c:pt>
                <c:pt idx="4">
                  <c:v>2019-05-10</c:v>
                </c:pt>
                <c:pt idx="5">
                  <c:v>2019-05-13</c:v>
                </c:pt>
                <c:pt idx="6">
                  <c:v>2019-05-14</c:v>
                </c:pt>
                <c:pt idx="7">
                  <c:v>2019-05-15</c:v>
                </c:pt>
                <c:pt idx="8">
                  <c:v>2019-05-16</c:v>
                </c:pt>
                <c:pt idx="9">
                  <c:v>2019-05-17</c:v>
                </c:pt>
                <c:pt idx="10">
                  <c:v>2019-05-20</c:v>
                </c:pt>
                <c:pt idx="11">
                  <c:v>2019-05-21</c:v>
                </c:pt>
                <c:pt idx="12">
                  <c:v>2019-05-22</c:v>
                </c:pt>
                <c:pt idx="13">
                  <c:v>2019-05-23</c:v>
                </c:pt>
                <c:pt idx="14">
                  <c:v>2019-05-24</c:v>
                </c:pt>
                <c:pt idx="15">
                  <c:v>2019-05-27</c:v>
                </c:pt>
                <c:pt idx="16">
                  <c:v>2019-05-28</c:v>
                </c:pt>
              </c:strCache>
            </c:strRef>
          </c:cat>
          <c:val>
            <c:numRef>
              <c:f>'001593-2'!$H$3:$H$19</c:f>
              <c:numCache>
                <c:formatCode>General</c:formatCode>
                <c:ptCount val="17"/>
                <c:pt idx="0">
                  <c:v>0.59440000000000004</c:v>
                </c:pt>
                <c:pt idx="1">
                  <c:v>0.59609515182016448</c:v>
                </c:pt>
                <c:pt idx="2">
                  <c:v>0.59384659784974692</c:v>
                </c:pt>
                <c:pt idx="3">
                  <c:v>0.59155880943770089</c:v>
                </c:pt>
                <c:pt idx="4">
                  <c:v>0.594966667244475</c:v>
                </c:pt>
                <c:pt idx="5">
                  <c:v>0.59563147144554429</c:v>
                </c:pt>
                <c:pt idx="6">
                  <c:v>0.59545216044654004</c:v>
                </c:pt>
                <c:pt idx="7">
                  <c:v>0.59670277057426369</c:v>
                </c:pt>
                <c:pt idx="8">
                  <c:v>0.59790045969903005</c:v>
                </c:pt>
                <c:pt idx="9">
                  <c:v>0.59411066988933114</c:v>
                </c:pt>
                <c:pt idx="10">
                  <c:v>0.5925560076766736</c:v>
                </c:pt>
                <c:pt idx="11">
                  <c:v>0.59259815026932983</c:v>
                </c:pt>
                <c:pt idx="12">
                  <c:v>0.59259815026932983</c:v>
                </c:pt>
                <c:pt idx="13">
                  <c:v>0.59004460179192841</c:v>
                </c:pt>
                <c:pt idx="14">
                  <c:v>0.58691047701126076</c:v>
                </c:pt>
                <c:pt idx="15">
                  <c:v>0.58691047701126076</c:v>
                </c:pt>
                <c:pt idx="16">
                  <c:v>0.58691047701126087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530816"/>
        <c:axId val="288532352"/>
      </c:lineChart>
      <c:catAx>
        <c:axId val="288530816"/>
        <c:scaling>
          <c:orientation val="minMax"/>
        </c:scaling>
        <c:delete val="0"/>
        <c:axPos val="b"/>
        <c:majorTickMark val="out"/>
        <c:minorTickMark val="none"/>
        <c:tickLblPos val="nextTo"/>
        <c:crossAx val="288532352"/>
        <c:crosses val="autoZero"/>
        <c:auto val="1"/>
        <c:lblAlgn val="ctr"/>
        <c:lblOffset val="100"/>
        <c:noMultiLvlLbl val="0"/>
      </c:catAx>
      <c:valAx>
        <c:axId val="288532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85308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514851111236992E-2"/>
          <c:y val="2.1872830412327491E-2"/>
          <c:w val="0.90677945345984801"/>
          <c:h val="0.8356524138639150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suggest!$D$2:$D$41</c:f>
              <c:numCache>
                <c:formatCode>General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</c:numCache>
            </c:numRef>
          </c:xVal>
          <c:yVal>
            <c:numRef>
              <c:f>suggest!$F$2:$F$41</c:f>
              <c:numCache>
                <c:formatCode>General</c:formatCode>
                <c:ptCount val="40"/>
                <c:pt idx="0">
                  <c:v>-7.3101271226416742E-2</c:v>
                </c:pt>
                <c:pt idx="1">
                  <c:v>-0.13283195526340164</c:v>
                </c:pt>
                <c:pt idx="2">
                  <c:v>-0.18255300521483608</c:v>
                </c:pt>
                <c:pt idx="3">
                  <c:v>-0.22458600907006021</c:v>
                </c:pt>
                <c:pt idx="4">
                  <c:v>-0.26058613267132547</c:v>
                </c:pt>
                <c:pt idx="5">
                  <c:v>-0.29176523262354204</c:v>
                </c:pt>
                <c:pt idx="6">
                  <c:v>-0.31903095867399367</c:v>
                </c:pt>
                <c:pt idx="7">
                  <c:v>-0.34307657164698302</c:v>
                </c:pt>
                <c:pt idx="8">
                  <c:v>-0.36444071295594904</c:v>
                </c:pt>
                <c:pt idx="9">
                  <c:v>-0.38354823437890539</c:v>
                </c:pt>
                <c:pt idx="10">
                  <c:v>-0.40073873873988086</c:v>
                </c:pt>
                <c:pt idx="11">
                  <c:v>-0.41628694065042326</c:v>
                </c:pt>
                <c:pt idx="12">
                  <c:v>-0.43041745777487872</c:v>
                </c:pt>
                <c:pt idx="13">
                  <c:v>-0.443315732508065</c:v>
                </c:pt>
                <c:pt idx="14">
                  <c:v>-0.4551362157775074</c:v>
                </c:pt>
                <c:pt idx="15">
                  <c:v>-0.4660085815844095</c:v>
                </c:pt>
                <c:pt idx="16">
                  <c:v>-0.47604250380549606</c:v>
                </c:pt>
                <c:pt idx="17">
                  <c:v>-0.48533136890758222</c:v>
                </c:pt>
                <c:pt idx="18">
                  <c:v>-0.49395519121857578</c:v>
                </c:pt>
                <c:pt idx="19">
                  <c:v>-0.50198292367698016</c:v>
                </c:pt>
                <c:pt idx="20">
                  <c:v>-0.50947430542191974</c:v>
                </c:pt>
                <c:pt idx="21">
                  <c:v>-0.51648135102992931</c:v>
                </c:pt>
                <c:pt idx="22">
                  <c:v>-0.52304955994805225</c:v>
                </c:pt>
                <c:pt idx="23">
                  <c:v>-0.52921890559380902</c:v>
                </c:pt>
                <c:pt idx="24">
                  <c:v>-0.5350246495717248</c:v>
                </c:pt>
                <c:pt idx="25">
                  <c:v>-0.54049801604899583</c:v>
                </c:pt>
                <c:pt idx="26">
                  <c:v>-0.54566675353044936</c:v>
                </c:pt>
                <c:pt idx="27">
                  <c:v>-0.55055560537397019</c:v>
                </c:pt>
                <c:pt idx="28">
                  <c:v>-0.55518670588582397</c:v>
                </c:pt>
                <c:pt idx="29">
                  <c:v>-0.55957991537590734</c:v>
                </c:pt>
                <c:pt idx="30">
                  <c:v>-0.56375310487262187</c:v>
                </c:pt>
                <c:pt idx="31">
                  <c:v>-0.56772239910550804</c:v>
                </c:pt>
                <c:pt idx="32">
                  <c:v>-0.5715023847219447</c:v>
                </c:pt>
                <c:pt idx="33">
                  <c:v>-0.57510628940627972</c:v>
                </c:pt>
                <c:pt idx="34">
                  <c:v>-0.57854613653708364</c:v>
                </c:pt>
                <c:pt idx="35">
                  <c:v>-0.58183287919362225</c:v>
                </c:pt>
                <c:pt idx="36">
                  <c:v>-0.58497651665820882</c:v>
                </c:pt>
                <c:pt idx="37">
                  <c:v>-0.5879861960253252</c:v>
                </c:pt>
                <c:pt idx="38">
                  <c:v>-0.59087030109219452</c:v>
                </c:pt>
                <c:pt idx="39">
                  <c:v>-0.5936365303503055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887936"/>
        <c:axId val="138889472"/>
      </c:scatterChart>
      <c:valAx>
        <c:axId val="138887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8889472"/>
        <c:crosses val="autoZero"/>
        <c:crossBetween val="midCat"/>
      </c:valAx>
      <c:valAx>
        <c:axId val="138889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8887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5875998833479148"/>
          <c:y val="0.9262771015857062"/>
          <c:w val="8.0680073264223273E-2"/>
          <c:h val="6.4813309626619256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106454</xdr:colOff>
      <xdr:row>16</xdr:row>
      <xdr:rowOff>45943</xdr:rowOff>
    </xdr:from>
    <xdr:to>
      <xdr:col>14</xdr:col>
      <xdr:colOff>341778</xdr:colOff>
      <xdr:row>29</xdr:row>
      <xdr:rowOff>166966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5601</xdr:colOff>
      <xdr:row>16</xdr:row>
      <xdr:rowOff>57150</xdr:rowOff>
    </xdr:from>
    <xdr:to>
      <xdr:col>15</xdr:col>
      <xdr:colOff>140072</xdr:colOff>
      <xdr:row>29</xdr:row>
      <xdr:rowOff>178173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61631</xdr:colOff>
      <xdr:row>13</xdr:row>
      <xdr:rowOff>124385</xdr:rowOff>
    </xdr:from>
    <xdr:to>
      <xdr:col>15</xdr:col>
      <xdr:colOff>252131</xdr:colOff>
      <xdr:row>27</xdr:row>
      <xdr:rowOff>43702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95249</xdr:colOff>
      <xdr:row>15</xdr:row>
      <xdr:rowOff>23532</xdr:rowOff>
    </xdr:from>
    <xdr:to>
      <xdr:col>15</xdr:col>
      <xdr:colOff>532279</xdr:colOff>
      <xdr:row>28</xdr:row>
      <xdr:rowOff>144555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750792</xdr:colOff>
      <xdr:row>4</xdr:row>
      <xdr:rowOff>159683</xdr:rowOff>
    </xdr:from>
    <xdr:to>
      <xdr:col>15</xdr:col>
      <xdr:colOff>11205</xdr:colOff>
      <xdr:row>21</xdr:row>
      <xdr:rowOff>44825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X18"/>
  <sheetViews>
    <sheetView tabSelected="1" zoomScale="85" zoomScaleNormal="85" workbookViewId="0">
      <selection activeCell="F27" sqref="F27"/>
    </sheetView>
  </sheetViews>
  <sheetFormatPr defaultColWidth="9" defaultRowHeight="15.75"/>
  <cols>
    <col min="1" max="1" width="12.44140625" style="1" customWidth="1"/>
    <col min="2" max="2" width="8.44140625" style="2" customWidth="1"/>
    <col min="3" max="3" width="5.44140625" style="2" customWidth="1"/>
    <col min="4" max="4" width="9.21875" style="2" customWidth="1"/>
    <col min="5" max="5" width="9" style="2"/>
    <col min="6" max="6" width="8.88671875" style="2" customWidth="1"/>
    <col min="7" max="7" width="9.21875" style="2" customWidth="1"/>
    <col min="8" max="8" width="9" style="2"/>
    <col min="9" max="9" width="9.88671875" style="2" customWidth="1"/>
    <col min="10" max="11" width="9.33203125" style="3" customWidth="1"/>
    <col min="12" max="16" width="16.88671875" style="2" customWidth="1"/>
    <col min="17" max="17" width="13.21875" style="2" customWidth="1"/>
    <col min="18" max="16384" width="9" style="2"/>
  </cols>
  <sheetData>
    <row r="1" spans="1:24">
      <c r="A1" s="1" t="s">
        <v>0</v>
      </c>
      <c r="B1" s="2" t="s">
        <v>1</v>
      </c>
      <c r="C1" s="2" t="s">
        <v>2</v>
      </c>
      <c r="D1" s="16" t="s">
        <v>15</v>
      </c>
      <c r="E1" s="16" t="s">
        <v>3</v>
      </c>
      <c r="F1" s="16" t="s">
        <v>11</v>
      </c>
      <c r="G1" s="16" t="s">
        <v>12</v>
      </c>
      <c r="H1" s="16" t="s">
        <v>13</v>
      </c>
      <c r="I1" s="16" t="s">
        <v>14</v>
      </c>
      <c r="J1" s="16" t="s">
        <v>46</v>
      </c>
      <c r="K1" s="2"/>
      <c r="P1" s="1"/>
    </row>
    <row r="2" spans="1:24">
      <c r="A2" s="1" t="s">
        <v>48</v>
      </c>
      <c r="B2" s="2">
        <v>0</v>
      </c>
      <c r="C2" s="2">
        <v>0</v>
      </c>
      <c r="D2" s="16">
        <v>0</v>
      </c>
      <c r="E2" s="16">
        <v>0</v>
      </c>
      <c r="F2" s="16">
        <v>0</v>
      </c>
      <c r="G2" s="16">
        <v>0</v>
      </c>
      <c r="H2" s="16">
        <v>0</v>
      </c>
      <c r="I2" s="16">
        <v>0</v>
      </c>
      <c r="J2" s="18" t="str">
        <f t="shared" ref="J2" si="0">IF(C2&lt;0,-E2*(B2-H2),"")</f>
        <v/>
      </c>
      <c r="P2" s="1"/>
    </row>
    <row r="3" spans="1:24">
      <c r="A3" s="1" t="s">
        <v>5</v>
      </c>
      <c r="B3" s="2">
        <v>0.5978</v>
      </c>
      <c r="C3" s="2">
        <v>10</v>
      </c>
      <c r="D3" s="16">
        <f t="shared" ref="D3:D16" si="1">IF(C3&lt;0,0,C3)</f>
        <v>10</v>
      </c>
      <c r="E3" s="16">
        <f t="shared" ref="E3:E16" si="2">IF(C3&lt;0,C3,D3/B3)</f>
        <v>16.728002676480429</v>
      </c>
      <c r="F3" s="16">
        <f t="shared" ref="F3:F16" si="3">IF(C3&lt;0,F2+C3*H3,C3+F2)</f>
        <v>10</v>
      </c>
      <c r="G3" s="16">
        <f t="shared" ref="G3:G18" si="4">G2+E3</f>
        <v>16.728002676480429</v>
      </c>
      <c r="H3" s="16">
        <f t="shared" ref="H3:H16" si="5">IF(C3&lt;0,H2,F3/G3)</f>
        <v>0.5978</v>
      </c>
      <c r="I3" s="17">
        <f t="shared" ref="I3:I18" si="6">B3/H3-1</f>
        <v>0</v>
      </c>
      <c r="J3" s="18" t="str">
        <f t="shared" ref="J2:J18" si="7">IF(C3&lt;0,-E3*(B3-H3),"")</f>
        <v/>
      </c>
      <c r="P3" s="1"/>
      <c r="X3" s="6"/>
    </row>
    <row r="4" spans="1:24">
      <c r="A4" s="1" t="s">
        <v>6</v>
      </c>
      <c r="B4" s="2">
        <v>0.58940000000000003</v>
      </c>
      <c r="C4" s="2">
        <v>10</v>
      </c>
      <c r="D4" s="16">
        <f t="shared" si="1"/>
        <v>10</v>
      </c>
      <c r="E4" s="16">
        <f t="shared" si="2"/>
        <v>16.9664065151001</v>
      </c>
      <c r="F4" s="16">
        <f t="shared" si="3"/>
        <v>20</v>
      </c>
      <c r="G4" s="16">
        <f t="shared" si="4"/>
        <v>33.694409191580533</v>
      </c>
      <c r="H4" s="16">
        <f t="shared" si="5"/>
        <v>0.59357028301886783</v>
      </c>
      <c r="I4" s="17">
        <f t="shared" si="6"/>
        <v>-7.0257611241215656E-3</v>
      </c>
      <c r="J4" s="18" t="str">
        <f t="shared" si="7"/>
        <v/>
      </c>
      <c r="P4" s="1"/>
      <c r="X4" s="6"/>
    </row>
    <row r="5" spans="1:24">
      <c r="A5" s="1" t="s">
        <v>7</v>
      </c>
      <c r="B5" s="2">
        <v>0.58479999999999999</v>
      </c>
      <c r="C5" s="2">
        <v>10</v>
      </c>
      <c r="D5" s="16">
        <f t="shared" si="1"/>
        <v>10</v>
      </c>
      <c r="E5" s="16">
        <f t="shared" si="2"/>
        <v>17.09986320109439</v>
      </c>
      <c r="F5" s="16">
        <f t="shared" si="3"/>
        <v>30</v>
      </c>
      <c r="G5" s="16">
        <f t="shared" si="4"/>
        <v>50.794272392674927</v>
      </c>
      <c r="H5" s="16">
        <f t="shared" si="5"/>
        <v>0.5906177721787057</v>
      </c>
      <c r="I5" s="17">
        <f t="shared" si="6"/>
        <v>-9.8503168254567841E-3</v>
      </c>
      <c r="J5" s="18" t="str">
        <f t="shared" si="7"/>
        <v/>
      </c>
      <c r="P5" s="1"/>
      <c r="X5" s="6"/>
    </row>
    <row r="6" spans="1:24">
      <c r="A6" s="1" t="s">
        <v>8</v>
      </c>
      <c r="B6" s="2">
        <v>0.60899999999999999</v>
      </c>
      <c r="C6" s="2">
        <v>10</v>
      </c>
      <c r="D6" s="16">
        <f t="shared" si="1"/>
        <v>10</v>
      </c>
      <c r="E6" s="16">
        <f t="shared" si="2"/>
        <v>16.420361247947454</v>
      </c>
      <c r="F6" s="16">
        <f t="shared" si="3"/>
        <v>40</v>
      </c>
      <c r="G6" s="16">
        <f t="shared" si="4"/>
        <v>67.214633640622381</v>
      </c>
      <c r="H6" s="16">
        <f t="shared" si="5"/>
        <v>0.59510850291721706</v>
      </c>
      <c r="I6" s="17">
        <f t="shared" si="6"/>
        <v>2.3342797178475649E-2</v>
      </c>
      <c r="J6" s="18" t="str">
        <f t="shared" si="7"/>
        <v/>
      </c>
      <c r="P6" s="1"/>
      <c r="X6" s="6"/>
    </row>
    <row r="7" spans="1:24">
      <c r="A7" s="1" t="s">
        <v>9</v>
      </c>
      <c r="B7" s="2">
        <v>0.59730000000000005</v>
      </c>
      <c r="C7" s="2">
        <v>30</v>
      </c>
      <c r="D7" s="16">
        <f t="shared" si="1"/>
        <v>30</v>
      </c>
      <c r="E7" s="16">
        <f t="shared" si="2"/>
        <v>50.2260170768458</v>
      </c>
      <c r="F7" s="16">
        <f t="shared" si="3"/>
        <v>70</v>
      </c>
      <c r="G7" s="16">
        <f t="shared" si="4"/>
        <v>117.44065071746817</v>
      </c>
      <c r="H7" s="16">
        <f t="shared" si="5"/>
        <v>0.59604574372124264</v>
      </c>
      <c r="I7" s="17">
        <f t="shared" si="6"/>
        <v>2.104295336339046E-3</v>
      </c>
      <c r="J7" s="18" t="str">
        <f t="shared" si="7"/>
        <v/>
      </c>
      <c r="P7" s="1"/>
      <c r="X7" s="6"/>
    </row>
    <row r="8" spans="1:24">
      <c r="A8" s="1" t="s">
        <v>10</v>
      </c>
      <c r="B8" s="2">
        <v>0.59419999999999995</v>
      </c>
      <c r="C8" s="2">
        <v>10</v>
      </c>
      <c r="D8" s="16">
        <f t="shared" si="1"/>
        <v>10</v>
      </c>
      <c r="E8" s="16">
        <f t="shared" si="2"/>
        <v>16.82935038707506</v>
      </c>
      <c r="F8" s="16">
        <f t="shared" si="3"/>
        <v>80</v>
      </c>
      <c r="G8" s="16">
        <f t="shared" si="4"/>
        <v>134.27000110454324</v>
      </c>
      <c r="H8" s="16">
        <f t="shared" si="5"/>
        <v>0.59581439891187338</v>
      </c>
      <c r="I8" s="17">
        <f t="shared" si="6"/>
        <v>-2.7095667960052028E-3</v>
      </c>
      <c r="J8" s="18" t="str">
        <f t="shared" si="7"/>
        <v/>
      </c>
      <c r="L8" s="4" t="s">
        <v>29</v>
      </c>
      <c r="M8" s="4" t="s">
        <v>28</v>
      </c>
      <c r="N8" s="5"/>
      <c r="P8" s="1"/>
      <c r="X8" s="6"/>
    </row>
    <row r="9" spans="1:24">
      <c r="A9" s="1" t="s">
        <v>17</v>
      </c>
      <c r="B9" s="2">
        <v>0.6069</v>
      </c>
      <c r="C9" s="2">
        <v>10</v>
      </c>
      <c r="D9" s="16">
        <f t="shared" si="1"/>
        <v>10</v>
      </c>
      <c r="E9" s="16">
        <f t="shared" si="2"/>
        <v>16.477179106936891</v>
      </c>
      <c r="F9" s="16">
        <f t="shared" si="3"/>
        <v>90</v>
      </c>
      <c r="G9" s="16">
        <f t="shared" si="4"/>
        <v>150.74718021148013</v>
      </c>
      <c r="H9" s="16">
        <f t="shared" si="5"/>
        <v>0.59702609278489216</v>
      </c>
      <c r="I9" s="17">
        <f t="shared" si="6"/>
        <v>1.6538485226081034E-2</v>
      </c>
      <c r="J9" s="18" t="str">
        <f t="shared" si="7"/>
        <v/>
      </c>
      <c r="L9" s="7">
        <v>0</v>
      </c>
      <c r="M9" s="8">
        <f>NumOfACol($B:$B)-1</f>
        <v>17</v>
      </c>
      <c r="N9" s="9"/>
      <c r="P9" s="1"/>
      <c r="X9" s="6"/>
    </row>
    <row r="10" spans="1:24">
      <c r="A10" s="1" t="s">
        <v>33</v>
      </c>
      <c r="B10" s="2">
        <v>0.6089</v>
      </c>
      <c r="C10" s="2">
        <v>10</v>
      </c>
      <c r="D10" s="16">
        <f t="shared" si="1"/>
        <v>10</v>
      </c>
      <c r="E10" s="16">
        <f t="shared" si="2"/>
        <v>16.423057973394645</v>
      </c>
      <c r="F10" s="16">
        <f t="shared" si="3"/>
        <v>100</v>
      </c>
      <c r="G10" s="16">
        <f t="shared" si="4"/>
        <v>167.17023818487476</v>
      </c>
      <c r="H10" s="16">
        <f t="shared" si="5"/>
        <v>0.59819260345498393</v>
      </c>
      <c r="I10" s="17">
        <f t="shared" si="6"/>
        <v>1.7899580307702445E-2</v>
      </c>
      <c r="J10" s="18" t="str">
        <f t="shared" si="7"/>
        <v/>
      </c>
      <c r="L10" s="4" t="s">
        <v>34</v>
      </c>
      <c r="M10" s="8" t="s">
        <v>31</v>
      </c>
      <c r="N10" s="8" t="s">
        <v>32</v>
      </c>
      <c r="P10" s="1"/>
      <c r="X10" s="6"/>
    </row>
    <row r="11" spans="1:24">
      <c r="A11" s="1" t="s">
        <v>35</v>
      </c>
      <c r="B11" s="2">
        <v>0.58789999999999998</v>
      </c>
      <c r="C11" s="2">
        <v>80</v>
      </c>
      <c r="D11" s="16">
        <f t="shared" si="1"/>
        <v>80</v>
      </c>
      <c r="E11" s="16">
        <f t="shared" si="2"/>
        <v>136.07756421160062</v>
      </c>
      <c r="F11" s="16">
        <f t="shared" si="3"/>
        <v>180</v>
      </c>
      <c r="G11" s="16">
        <f t="shared" si="4"/>
        <v>303.24780239647538</v>
      </c>
      <c r="H11" s="16">
        <f t="shared" si="5"/>
        <v>0.59357396352921477</v>
      </c>
      <c r="I11" s="17">
        <f t="shared" si="6"/>
        <v>-9.5589831728452035E-3</v>
      </c>
      <c r="J11" s="18" t="str">
        <f t="shared" si="7"/>
        <v/>
      </c>
      <c r="L11" s="10">
        <f ca="1">N11/L13-1</f>
        <v>1.6370055958742524E-2</v>
      </c>
      <c r="M11" s="10">
        <f ca="1">N13/L13-1</f>
        <v>1.6370055958742524E-2</v>
      </c>
      <c r="N11" s="11">
        <f ca="1">OFFSET($B$1,M9,0)</f>
        <v>0.5978</v>
      </c>
      <c r="P11" s="1"/>
      <c r="X11" s="6"/>
    </row>
    <row r="12" spans="1:24">
      <c r="A12" s="1" t="s">
        <v>36</v>
      </c>
      <c r="B12" s="2">
        <v>0.58440000000000003</v>
      </c>
      <c r="C12" s="2">
        <v>10</v>
      </c>
      <c r="D12" s="16">
        <f t="shared" si="1"/>
        <v>10</v>
      </c>
      <c r="E12" s="16">
        <f t="shared" si="2"/>
        <v>17.111567419575632</v>
      </c>
      <c r="F12" s="16">
        <f t="shared" si="3"/>
        <v>190</v>
      </c>
      <c r="G12" s="16">
        <f t="shared" si="4"/>
        <v>320.35936981605101</v>
      </c>
      <c r="H12" s="16">
        <f t="shared" si="5"/>
        <v>0.59308394853285296</v>
      </c>
      <c r="I12" s="17">
        <f t="shared" si="6"/>
        <v>-1.4642022523683074E-2</v>
      </c>
      <c r="J12" s="18" t="str">
        <f t="shared" si="7"/>
        <v/>
      </c>
      <c r="L12" s="8" t="s">
        <v>26</v>
      </c>
      <c r="M12" s="8" t="s">
        <v>27</v>
      </c>
      <c r="N12" s="8" t="s">
        <v>25</v>
      </c>
      <c r="P12" s="1"/>
      <c r="X12" s="6"/>
    </row>
    <row r="13" spans="1:24">
      <c r="A13" s="1" t="s">
        <v>37</v>
      </c>
      <c r="B13" s="2">
        <v>0.59340000000000004</v>
      </c>
      <c r="C13" s="2">
        <v>10</v>
      </c>
      <c r="D13" s="16">
        <f t="shared" si="1"/>
        <v>10</v>
      </c>
      <c r="E13" s="16">
        <f t="shared" si="2"/>
        <v>16.852039096730703</v>
      </c>
      <c r="F13" s="16">
        <f t="shared" si="3"/>
        <v>200</v>
      </c>
      <c r="G13" s="16">
        <f t="shared" si="4"/>
        <v>337.21140891278174</v>
      </c>
      <c r="H13" s="16">
        <f t="shared" si="5"/>
        <v>0.59309974311020164</v>
      </c>
      <c r="I13" s="17">
        <f t="shared" si="6"/>
        <v>5.0625024422346065E-4</v>
      </c>
      <c r="J13" s="18" t="str">
        <f t="shared" si="7"/>
        <v/>
      </c>
      <c r="L13" s="12">
        <f ca="1">OFFSET($H$1,M9,0)</f>
        <v>0.58817159802695573</v>
      </c>
      <c r="M13" s="12">
        <f ca="1">OFFSET($F$1,M9,0)</f>
        <v>299.99318318747669</v>
      </c>
      <c r="N13" s="12">
        <f ca="1">N11*(1+L9)</f>
        <v>0.5978</v>
      </c>
      <c r="P13" s="1"/>
      <c r="X13" s="6"/>
    </row>
    <row r="14" spans="1:24">
      <c r="A14" s="1" t="s">
        <v>38</v>
      </c>
      <c r="B14" s="2">
        <v>0.59160000000000001</v>
      </c>
      <c r="C14" s="2">
        <v>100</v>
      </c>
      <c r="D14" s="16">
        <f t="shared" si="1"/>
        <v>100</v>
      </c>
      <c r="E14" s="16">
        <f t="shared" si="2"/>
        <v>169.03313049357675</v>
      </c>
      <c r="F14" s="16">
        <f t="shared" si="3"/>
        <v>300</v>
      </c>
      <c r="G14" s="16">
        <f t="shared" si="4"/>
        <v>506.24453940635851</v>
      </c>
      <c r="H14" s="16">
        <f t="shared" si="5"/>
        <v>0.59259898457727833</v>
      </c>
      <c r="I14" s="17">
        <f t="shared" si="6"/>
        <v>-1.6857682906610272E-3</v>
      </c>
      <c r="J14" s="18" t="str">
        <f t="shared" si="7"/>
        <v/>
      </c>
      <c r="P14" s="1"/>
      <c r="X14" s="6"/>
    </row>
    <row r="15" spans="1:24">
      <c r="A15" s="1" t="s">
        <v>41</v>
      </c>
      <c r="B15" s="2">
        <v>0.5776</v>
      </c>
      <c r="C15" s="2">
        <v>20</v>
      </c>
      <c r="D15" s="16">
        <f t="shared" si="1"/>
        <v>20</v>
      </c>
      <c r="E15" s="16">
        <f t="shared" si="2"/>
        <v>34.626038781163437</v>
      </c>
      <c r="F15" s="16">
        <f t="shared" si="3"/>
        <v>320</v>
      </c>
      <c r="G15" s="16">
        <f t="shared" si="4"/>
        <v>540.87057818752191</v>
      </c>
      <c r="H15" s="16">
        <f t="shared" si="5"/>
        <v>0.59163876332917253</v>
      </c>
      <c r="I15" s="17">
        <f t="shared" si="6"/>
        <v>-2.3728606371522853E-2</v>
      </c>
      <c r="J15" s="18" t="str">
        <f t="shared" si="7"/>
        <v/>
      </c>
      <c r="P15" s="1"/>
      <c r="X15" s="6"/>
    </row>
    <row r="16" spans="1:24">
      <c r="A16" s="1" t="s">
        <v>42</v>
      </c>
      <c r="B16" s="2">
        <v>0.57469999999999999</v>
      </c>
      <c r="C16" s="2">
        <v>80</v>
      </c>
      <c r="D16" s="16">
        <f t="shared" si="1"/>
        <v>80</v>
      </c>
      <c r="E16" s="16">
        <f t="shared" si="2"/>
        <v>139.20306246737428</v>
      </c>
      <c r="F16" s="16">
        <f t="shared" si="3"/>
        <v>400</v>
      </c>
      <c r="G16" s="16">
        <f t="shared" si="4"/>
        <v>680.07364065489617</v>
      </c>
      <c r="H16" s="16">
        <f t="shared" si="5"/>
        <v>0.58817159802695584</v>
      </c>
      <c r="I16" s="17">
        <f t="shared" si="6"/>
        <v>-2.2904196789077957E-2</v>
      </c>
      <c r="J16" s="18" t="str">
        <f t="shared" si="7"/>
        <v/>
      </c>
      <c r="P16" s="1"/>
      <c r="X16" s="6"/>
    </row>
    <row r="17" spans="1:24">
      <c r="A17" s="1" t="s">
        <v>43</v>
      </c>
      <c r="B17" s="2">
        <v>0.59389999999999998</v>
      </c>
      <c r="C17" s="2">
        <v>-170.03</v>
      </c>
      <c r="D17" s="16">
        <f>IF(C17&lt;0,0,C17)</f>
        <v>0</v>
      </c>
      <c r="E17" s="16">
        <f>IF(C17&lt;0,C17,D17/B17)</f>
        <v>-170.03</v>
      </c>
      <c r="F17" s="16">
        <f>IF(C17&lt;0,F16+C17*H17,C17+F16)</f>
        <v>299.99318318747669</v>
      </c>
      <c r="G17" s="16">
        <f t="shared" si="4"/>
        <v>510.04364065489619</v>
      </c>
      <c r="H17" s="16">
        <f>IF(C17&lt;0,H16,F17/G17)</f>
        <v>0.58817159802695584</v>
      </c>
      <c r="I17" s="17">
        <f t="shared" si="6"/>
        <v>9.739337962357153E-3</v>
      </c>
      <c r="J17" s="18">
        <f>IF(C17&lt;0,-E17*(B17-H17),"")</f>
        <v>0.97400018747669503</v>
      </c>
      <c r="P17" s="1"/>
      <c r="X17" s="6"/>
    </row>
    <row r="18" spans="1:24">
      <c r="A18" s="1" t="s">
        <v>45</v>
      </c>
      <c r="B18" s="2">
        <v>0.5978</v>
      </c>
      <c r="C18" s="2">
        <v>0</v>
      </c>
      <c r="D18" s="16">
        <f>IF(C18&lt;0,0,C18)</f>
        <v>0</v>
      </c>
      <c r="E18" s="16">
        <f>IF(C18&lt;0,C18,D18/B18)</f>
        <v>0</v>
      </c>
      <c r="F18" s="16">
        <f>IF(C18&lt;0,F17+C18*H18,C18+F17)</f>
        <v>299.99318318747669</v>
      </c>
      <c r="G18" s="16">
        <f t="shared" si="4"/>
        <v>510.04364065489619</v>
      </c>
      <c r="H18" s="16">
        <f>IF(C18&lt;0,H17,F18/G18)</f>
        <v>0.58817159802695573</v>
      </c>
      <c r="I18" s="17">
        <f t="shared" si="6"/>
        <v>1.6370055958742524E-2</v>
      </c>
      <c r="J18" s="18" t="str">
        <f t="shared" si="7"/>
        <v/>
      </c>
      <c r="P18" s="1"/>
      <c r="X18" s="6"/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18"/>
  <sheetViews>
    <sheetView zoomScale="85" zoomScaleNormal="85" workbookViewId="0">
      <selection activeCell="Q15" sqref="Q15"/>
    </sheetView>
  </sheetViews>
  <sheetFormatPr defaultColWidth="9" defaultRowHeight="15.75"/>
  <cols>
    <col min="1" max="1" width="12.44140625" style="1" customWidth="1"/>
    <col min="2" max="2" width="9" style="2"/>
    <col min="3" max="3" width="5.88671875" style="2" customWidth="1"/>
    <col min="4" max="4" width="6.6640625" style="2" customWidth="1"/>
    <col min="5" max="5" width="9" style="2"/>
    <col min="6" max="6" width="8.88671875" style="2" customWidth="1"/>
    <col min="7" max="7" width="9.21875" style="2" customWidth="1"/>
    <col min="8" max="8" width="9" style="2"/>
    <col min="9" max="9" width="9.88671875" style="2" customWidth="1"/>
    <col min="10" max="10" width="9.33203125" style="3" customWidth="1"/>
    <col min="11" max="11" width="14.21875" style="2" customWidth="1"/>
    <col min="12" max="12" width="15" style="2" customWidth="1"/>
    <col min="13" max="13" width="12.77734375" style="2" customWidth="1"/>
    <col min="14" max="14" width="14.88671875" style="2" customWidth="1"/>
    <col min="15" max="16384" width="9" style="2"/>
  </cols>
  <sheetData>
    <row r="1" spans="1:14">
      <c r="A1" s="1" t="s">
        <v>0</v>
      </c>
      <c r="B1" s="2" t="s">
        <v>1</v>
      </c>
      <c r="C1" s="2" t="s">
        <v>2</v>
      </c>
      <c r="D1" s="16" t="s">
        <v>16</v>
      </c>
      <c r="E1" s="16" t="s">
        <v>3</v>
      </c>
      <c r="F1" s="16" t="s">
        <v>11</v>
      </c>
      <c r="G1" s="16" t="s">
        <v>12</v>
      </c>
      <c r="H1" s="16" t="s">
        <v>13</v>
      </c>
      <c r="I1" s="16" t="s">
        <v>14</v>
      </c>
      <c r="J1" s="16" t="s">
        <v>46</v>
      </c>
    </row>
    <row r="2" spans="1:14">
      <c r="A2" s="1" t="s">
        <v>48</v>
      </c>
      <c r="B2" s="2">
        <v>0</v>
      </c>
      <c r="C2" s="2">
        <v>0</v>
      </c>
      <c r="D2" s="16">
        <v>0</v>
      </c>
      <c r="E2" s="16">
        <v>0</v>
      </c>
      <c r="F2" s="16">
        <v>0</v>
      </c>
      <c r="G2" s="16">
        <v>0</v>
      </c>
      <c r="H2" s="16">
        <v>0</v>
      </c>
      <c r="I2" s="16">
        <v>0</v>
      </c>
      <c r="J2" s="18" t="str">
        <f t="shared" ref="J2" si="0">IF(C2&lt;0,-E2*(B2-H2),"")</f>
        <v/>
      </c>
    </row>
    <row r="3" spans="1:14">
      <c r="A3" s="1" t="s">
        <v>5</v>
      </c>
      <c r="B3" s="2">
        <v>1.1145</v>
      </c>
      <c r="C3" s="2">
        <v>10</v>
      </c>
      <c r="D3" s="16">
        <f t="shared" ref="D3:D17" si="1">IF(C3&lt;0,0,C3*0.999)</f>
        <v>9.99</v>
      </c>
      <c r="E3" s="16">
        <f t="shared" ref="E3:E17" si="2">IF(C3&lt;0,C3,D3/B3)</f>
        <v>8.9636608344549131</v>
      </c>
      <c r="F3" s="16">
        <f t="shared" ref="F3:F17" si="3">IF(C3&lt;0,F2+C3*H3,C3+F2)</f>
        <v>10</v>
      </c>
      <c r="G3" s="16">
        <f t="shared" ref="G3:G17" si="4">G2+E3</f>
        <v>8.9636608344549131</v>
      </c>
      <c r="H3" s="16">
        <f t="shared" ref="H3:H17" si="5">IF(C3&lt;0,H2,F3/G3)</f>
        <v>1.1156156156156156</v>
      </c>
      <c r="I3" s="17">
        <f t="shared" ref="I3:I17" si="6">B3/H3-1</f>
        <v>-1.0000000000000009E-3</v>
      </c>
      <c r="J3" s="18" t="str">
        <f t="shared" ref="J2:J18" si="7">IF(C3&lt;0,-E3*(B3-H3),"")</f>
        <v/>
      </c>
    </row>
    <row r="4" spans="1:14">
      <c r="A4" s="1" t="s">
        <v>6</v>
      </c>
      <c r="B4" s="2">
        <v>1.0996999999999999</v>
      </c>
      <c r="C4" s="2">
        <v>0</v>
      </c>
      <c r="D4" s="16">
        <f t="shared" si="1"/>
        <v>0</v>
      </c>
      <c r="E4" s="16">
        <f t="shared" si="2"/>
        <v>0</v>
      </c>
      <c r="F4" s="16">
        <f t="shared" si="3"/>
        <v>10</v>
      </c>
      <c r="G4" s="16">
        <f t="shared" si="4"/>
        <v>8.9636608344549131</v>
      </c>
      <c r="H4" s="16">
        <f t="shared" si="5"/>
        <v>1.1156156156156156</v>
      </c>
      <c r="I4" s="17">
        <f t="shared" si="6"/>
        <v>-1.4266218034993394E-2</v>
      </c>
      <c r="J4" s="18" t="str">
        <f t="shared" si="7"/>
        <v/>
      </c>
    </row>
    <row r="5" spans="1:14">
      <c r="A5" s="1" t="s">
        <v>7</v>
      </c>
      <c r="B5" s="2">
        <v>1.0806</v>
      </c>
      <c r="C5" s="2">
        <v>0</v>
      </c>
      <c r="D5" s="16">
        <f t="shared" si="1"/>
        <v>0</v>
      </c>
      <c r="E5" s="16">
        <f t="shared" si="2"/>
        <v>0</v>
      </c>
      <c r="F5" s="16">
        <f t="shared" si="3"/>
        <v>10</v>
      </c>
      <c r="G5" s="16">
        <f t="shared" si="4"/>
        <v>8.9636608344549131</v>
      </c>
      <c r="H5" s="16">
        <f t="shared" si="5"/>
        <v>1.1156156156156156</v>
      </c>
      <c r="I5" s="17">
        <f t="shared" si="6"/>
        <v>-3.1386810228802187E-2</v>
      </c>
      <c r="J5" s="18" t="str">
        <f t="shared" si="7"/>
        <v/>
      </c>
    </row>
    <row r="6" spans="1:14">
      <c r="A6" s="1" t="s">
        <v>8</v>
      </c>
      <c r="B6" s="2">
        <v>1.1174999999999999</v>
      </c>
      <c r="C6" s="2">
        <v>10</v>
      </c>
      <c r="D6" s="16">
        <f t="shared" si="1"/>
        <v>9.99</v>
      </c>
      <c r="E6" s="16">
        <f t="shared" si="2"/>
        <v>8.9395973154362416</v>
      </c>
      <c r="F6" s="16">
        <f t="shared" si="3"/>
        <v>20</v>
      </c>
      <c r="G6" s="16">
        <f t="shared" si="4"/>
        <v>17.903258149891155</v>
      </c>
      <c r="H6" s="16">
        <f t="shared" si="5"/>
        <v>1.1171150989699377</v>
      </c>
      <c r="I6" s="17">
        <f t="shared" si="6"/>
        <v>3.4454912516812541E-4</v>
      </c>
      <c r="J6" s="18" t="str">
        <f t="shared" si="7"/>
        <v/>
      </c>
    </row>
    <row r="7" spans="1:14">
      <c r="A7" s="1" t="s">
        <v>9</v>
      </c>
      <c r="B7" s="2">
        <v>1.1001000000000001</v>
      </c>
      <c r="C7" s="2">
        <v>0</v>
      </c>
      <c r="D7" s="16">
        <f t="shared" si="1"/>
        <v>0</v>
      </c>
      <c r="E7" s="16">
        <f t="shared" si="2"/>
        <v>0</v>
      </c>
      <c r="F7" s="16">
        <f t="shared" si="3"/>
        <v>20</v>
      </c>
      <c r="G7" s="16">
        <f t="shared" si="4"/>
        <v>17.903258149891155</v>
      </c>
      <c r="H7" s="16">
        <f t="shared" si="5"/>
        <v>1.1171150989699377</v>
      </c>
      <c r="I7" s="17">
        <f t="shared" si="6"/>
        <v>-1.5231285465236999E-2</v>
      </c>
      <c r="J7" s="18" t="str">
        <f t="shared" si="7"/>
        <v/>
      </c>
      <c r="L7" s="4" t="s">
        <v>29</v>
      </c>
      <c r="M7" s="4" t="s">
        <v>28</v>
      </c>
      <c r="N7" s="5"/>
    </row>
    <row r="8" spans="1:14">
      <c r="A8" s="1" t="s">
        <v>10</v>
      </c>
      <c r="B8" s="2">
        <v>1.0935999999999999</v>
      </c>
      <c r="C8" s="2">
        <v>50</v>
      </c>
      <c r="D8" s="16">
        <f t="shared" si="1"/>
        <v>49.95</v>
      </c>
      <c r="E8" s="16">
        <f t="shared" si="2"/>
        <v>45.674835405998543</v>
      </c>
      <c r="F8" s="16">
        <f t="shared" si="3"/>
        <v>70</v>
      </c>
      <c r="G8" s="16">
        <f t="shared" si="4"/>
        <v>63.578093555889694</v>
      </c>
      <c r="H8" s="16">
        <f t="shared" si="5"/>
        <v>1.1010081631099082</v>
      </c>
      <c r="I8" s="17">
        <f t="shared" si="6"/>
        <v>-6.7285269611291332E-3</v>
      </c>
      <c r="J8" s="18" t="str">
        <f t="shared" si="7"/>
        <v/>
      </c>
      <c r="L8" s="7">
        <v>1.2800000000000001E-2</v>
      </c>
      <c r="M8" s="8">
        <f>NumOfACol($B:$B)-1</f>
        <v>17</v>
      </c>
      <c r="N8" s="9"/>
    </row>
    <row r="9" spans="1:14">
      <c r="A9" s="1" t="s">
        <v>17</v>
      </c>
      <c r="B9" s="2">
        <v>1.117</v>
      </c>
      <c r="C9" s="2">
        <v>10</v>
      </c>
      <c r="D9" s="16">
        <f t="shared" si="1"/>
        <v>9.99</v>
      </c>
      <c r="E9" s="16">
        <f t="shared" si="2"/>
        <v>8.9435989256938235</v>
      </c>
      <c r="F9" s="16">
        <f t="shared" si="3"/>
        <v>80</v>
      </c>
      <c r="G9" s="16">
        <f t="shared" si="4"/>
        <v>72.521692481583514</v>
      </c>
      <c r="H9" s="16">
        <f t="shared" si="5"/>
        <v>1.103118215564475</v>
      </c>
      <c r="I9" s="17">
        <f t="shared" si="6"/>
        <v>1.2584131274109733E-2</v>
      </c>
      <c r="J9" s="18" t="str">
        <f t="shared" si="7"/>
        <v/>
      </c>
      <c r="L9" s="4" t="s">
        <v>30</v>
      </c>
      <c r="M9" s="8" t="s">
        <v>31</v>
      </c>
      <c r="N9" s="8" t="s">
        <v>32</v>
      </c>
    </row>
    <row r="10" spans="1:14">
      <c r="A10" s="1" t="s">
        <v>39</v>
      </c>
      <c r="B10" s="2">
        <v>1.1215999999999999</v>
      </c>
      <c r="C10" s="2">
        <v>20</v>
      </c>
      <c r="D10" s="16">
        <f t="shared" si="1"/>
        <v>19.98</v>
      </c>
      <c r="E10" s="16">
        <f t="shared" si="2"/>
        <v>17.81383737517832</v>
      </c>
      <c r="F10" s="16">
        <f t="shared" si="3"/>
        <v>100</v>
      </c>
      <c r="G10" s="16">
        <f t="shared" si="4"/>
        <v>90.335529856761838</v>
      </c>
      <c r="H10" s="16">
        <f t="shared" si="5"/>
        <v>1.1069841529524693</v>
      </c>
      <c r="I10" s="17">
        <f t="shared" si="6"/>
        <v>1.3203302873440625E-2</v>
      </c>
      <c r="J10" s="18" t="str">
        <f t="shared" si="7"/>
        <v/>
      </c>
      <c r="L10" s="10">
        <f ca="1">N10/L12-1</f>
        <v>6.7441268594852222E-3</v>
      </c>
      <c r="M10" s="10">
        <f ca="1">N12/L12-1</f>
        <v>1.9630451683286587E-2</v>
      </c>
      <c r="N10" s="11">
        <f ca="1">OFFSET($B$1,M8,0)</f>
        <v>1.1037999999999999</v>
      </c>
    </row>
    <row r="11" spans="1:14">
      <c r="A11" s="1" t="s">
        <v>40</v>
      </c>
      <c r="B11" s="2">
        <v>1.0944</v>
      </c>
      <c r="C11" s="2">
        <v>20</v>
      </c>
      <c r="D11" s="16">
        <f t="shared" si="1"/>
        <v>19.98</v>
      </c>
      <c r="E11" s="16">
        <f t="shared" si="2"/>
        <v>18.256578947368421</v>
      </c>
      <c r="F11" s="16">
        <f t="shared" si="3"/>
        <v>120</v>
      </c>
      <c r="G11" s="16">
        <f t="shared" si="4"/>
        <v>108.59210880413026</v>
      </c>
      <c r="H11" s="16">
        <f t="shared" si="5"/>
        <v>1.1050526720725755</v>
      </c>
      <c r="I11" s="17">
        <f t="shared" si="6"/>
        <v>-9.6399677063320199E-3</v>
      </c>
      <c r="J11" s="18" t="str">
        <f t="shared" si="7"/>
        <v/>
      </c>
      <c r="L11" s="8" t="s">
        <v>26</v>
      </c>
      <c r="M11" s="8" t="s">
        <v>27</v>
      </c>
      <c r="N11" s="8" t="s">
        <v>25</v>
      </c>
    </row>
    <row r="12" spans="1:14">
      <c r="A12" s="1" t="s">
        <v>36</v>
      </c>
      <c r="B12" s="2">
        <v>1.0857000000000001</v>
      </c>
      <c r="C12" s="2">
        <v>10</v>
      </c>
      <c r="D12" s="16">
        <f t="shared" si="1"/>
        <v>9.99</v>
      </c>
      <c r="E12" s="16">
        <f t="shared" si="2"/>
        <v>9.2014368610113291</v>
      </c>
      <c r="F12" s="16">
        <f t="shared" si="3"/>
        <v>130</v>
      </c>
      <c r="G12" s="16">
        <f t="shared" si="4"/>
        <v>117.79354566514159</v>
      </c>
      <c r="H12" s="16">
        <f t="shared" si="5"/>
        <v>1.1036258333674613</v>
      </c>
      <c r="I12" s="17">
        <f t="shared" si="6"/>
        <v>-1.6242672856582763E-2</v>
      </c>
      <c r="J12" s="18" t="str">
        <f t="shared" si="7"/>
        <v/>
      </c>
      <c r="L12" s="12">
        <f ca="1">OFFSET($H$1,M8,0)</f>
        <v>1.0964057008639108</v>
      </c>
      <c r="M12" s="12">
        <f ca="1">OFFSET($F$1,M8,0)</f>
        <v>400</v>
      </c>
      <c r="N12" s="12">
        <f ca="1">N10*(1+L8)</f>
        <v>1.1179286399999997</v>
      </c>
    </row>
    <row r="13" spans="1:14">
      <c r="A13" s="1" t="s">
        <v>37</v>
      </c>
      <c r="B13" s="2">
        <v>1.0995999999999999</v>
      </c>
      <c r="C13" s="2">
        <v>10</v>
      </c>
      <c r="D13" s="16">
        <f t="shared" si="1"/>
        <v>9.99</v>
      </c>
      <c r="E13" s="16">
        <f t="shared" si="2"/>
        <v>9.0851218624954537</v>
      </c>
      <c r="F13" s="16">
        <f t="shared" si="3"/>
        <v>140</v>
      </c>
      <c r="G13" s="16">
        <f t="shared" si="4"/>
        <v>126.87866752763705</v>
      </c>
      <c r="H13" s="16">
        <f t="shared" si="5"/>
        <v>1.1034163798221228</v>
      </c>
      <c r="I13" s="17">
        <f t="shared" si="6"/>
        <v>-3.4586941900737189E-3</v>
      </c>
      <c r="J13" s="18" t="str">
        <f t="shared" si="7"/>
        <v/>
      </c>
    </row>
    <row r="14" spans="1:14">
      <c r="A14" s="1" t="s">
        <v>38</v>
      </c>
      <c r="B14" s="2">
        <v>1.0948</v>
      </c>
      <c r="C14" s="2">
        <v>160</v>
      </c>
      <c r="D14" s="16">
        <f t="shared" si="1"/>
        <v>159.84</v>
      </c>
      <c r="E14" s="16">
        <f t="shared" si="2"/>
        <v>145.99926927292657</v>
      </c>
      <c r="F14" s="16">
        <f t="shared" si="3"/>
        <v>300</v>
      </c>
      <c r="G14" s="16">
        <f t="shared" si="4"/>
        <v>272.87793680056359</v>
      </c>
      <c r="H14" s="16">
        <f t="shared" si="5"/>
        <v>1.0993926570885022</v>
      </c>
      <c r="I14" s="17">
        <f t="shared" si="6"/>
        <v>-4.1774493024765436E-3</v>
      </c>
      <c r="J14" s="18" t="str">
        <f t="shared" si="7"/>
        <v/>
      </c>
    </row>
    <row r="15" spans="1:14">
      <c r="A15" s="1" t="s">
        <v>41</v>
      </c>
      <c r="B15" s="2">
        <v>1.0777000000000001</v>
      </c>
      <c r="C15" s="2">
        <v>20</v>
      </c>
      <c r="D15" s="16">
        <f t="shared" si="1"/>
        <v>19.98</v>
      </c>
      <c r="E15" s="16">
        <f t="shared" si="2"/>
        <v>18.539482230676438</v>
      </c>
      <c r="F15" s="16">
        <f t="shared" si="3"/>
        <v>320</v>
      </c>
      <c r="G15" s="16">
        <f t="shared" si="4"/>
        <v>291.41741903124</v>
      </c>
      <c r="H15" s="16">
        <f t="shared" si="5"/>
        <v>1.0980812370920625</v>
      </c>
      <c r="I15" s="17">
        <f t="shared" si="6"/>
        <v>-1.8560773468851877E-2</v>
      </c>
      <c r="J15" s="18" t="str">
        <f t="shared" si="7"/>
        <v/>
      </c>
    </row>
    <row r="16" spans="1:14">
      <c r="A16" s="1" t="s">
        <v>42</v>
      </c>
      <c r="B16" s="2">
        <v>1.0807</v>
      </c>
      <c r="C16" s="2">
        <v>30</v>
      </c>
      <c r="D16" s="16">
        <f t="shared" si="1"/>
        <v>29.97</v>
      </c>
      <c r="E16" s="16">
        <f t="shared" si="2"/>
        <v>27.732025539002496</v>
      </c>
      <c r="F16" s="16">
        <f t="shared" si="3"/>
        <v>350</v>
      </c>
      <c r="G16" s="16">
        <f t="shared" si="4"/>
        <v>319.14944457024251</v>
      </c>
      <c r="H16" s="16">
        <f t="shared" si="5"/>
        <v>1.0966649196939695</v>
      </c>
      <c r="I16" s="17">
        <f t="shared" si="6"/>
        <v>-1.4557700722682587E-2</v>
      </c>
      <c r="J16" s="18" t="str">
        <f t="shared" si="7"/>
        <v/>
      </c>
    </row>
    <row r="17" spans="1:10">
      <c r="A17" s="1" t="s">
        <v>43</v>
      </c>
      <c r="B17" s="2">
        <v>1.0934999999999999</v>
      </c>
      <c r="C17" s="2">
        <v>50</v>
      </c>
      <c r="D17" s="16">
        <f t="shared" si="1"/>
        <v>49.95</v>
      </c>
      <c r="E17" s="16">
        <f t="shared" si="2"/>
        <v>45.67901234567902</v>
      </c>
      <c r="F17" s="16">
        <f t="shared" si="3"/>
        <v>400</v>
      </c>
      <c r="G17" s="16">
        <f t="shared" si="4"/>
        <v>364.82845691592155</v>
      </c>
      <c r="H17" s="16">
        <f t="shared" si="5"/>
        <v>1.0964057008639108</v>
      </c>
      <c r="I17" s="17">
        <f t="shared" si="6"/>
        <v>-2.6502059060996563E-3</v>
      </c>
      <c r="J17" s="18" t="str">
        <f>IF(C17&lt;0,-E17*(B17-H17),"")</f>
        <v/>
      </c>
    </row>
    <row r="18" spans="1:10">
      <c r="A18" s="1" t="s">
        <v>45</v>
      </c>
      <c r="B18" s="2">
        <v>1.1037999999999999</v>
      </c>
      <c r="C18" s="2">
        <v>0</v>
      </c>
      <c r="D18" s="16">
        <f>IF(C18&lt;0,0,C18*0.999)</f>
        <v>0</v>
      </c>
      <c r="E18" s="16">
        <f>IF(C18&lt;0,C18,D18/B18)</f>
        <v>0</v>
      </c>
      <c r="F18" s="16">
        <f>IF(C18&lt;0,F17+C18*H18,C18+F17)</f>
        <v>400</v>
      </c>
      <c r="G18" s="16">
        <f t="shared" ref="G17:G18" si="8">G17+E18</f>
        <v>364.82845691592155</v>
      </c>
      <c r="H18" s="16">
        <f>IF(C18&lt;0,H17,F18/G18)</f>
        <v>1.0964057008639108</v>
      </c>
      <c r="I18" s="17">
        <f t="shared" ref="I17:I18" si="9">B18/H18-1</f>
        <v>6.7441268594852222E-3</v>
      </c>
      <c r="J18" s="18" t="str">
        <f t="shared" si="7"/>
        <v/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N11"/>
  <sheetViews>
    <sheetView zoomScale="85" zoomScaleNormal="85" workbookViewId="0">
      <selection activeCell="H20" sqref="H20"/>
    </sheetView>
  </sheetViews>
  <sheetFormatPr defaultColWidth="9" defaultRowHeight="15.75"/>
  <cols>
    <col min="1" max="1" width="12.44140625" style="1" customWidth="1"/>
    <col min="2" max="2" width="9" style="2"/>
    <col min="3" max="3" width="5.88671875" style="2" customWidth="1"/>
    <col min="4" max="4" width="6.6640625" style="2" customWidth="1"/>
    <col min="5" max="5" width="9" style="2"/>
    <col min="6" max="6" width="8.88671875" style="2" customWidth="1"/>
    <col min="7" max="7" width="9.21875" style="2" customWidth="1"/>
    <col min="8" max="8" width="9" style="2"/>
    <col min="9" max="10" width="9.88671875" style="2" customWidth="1"/>
    <col min="11" max="11" width="9.33203125" style="3" customWidth="1"/>
    <col min="12" max="12" width="14.21875" style="2" customWidth="1"/>
    <col min="13" max="13" width="15" style="2" customWidth="1"/>
    <col min="14" max="14" width="12.77734375" style="2" customWidth="1"/>
    <col min="15" max="16384" width="9" style="2"/>
  </cols>
  <sheetData>
    <row r="1" spans="1:14">
      <c r="A1" s="1" t="s">
        <v>0</v>
      </c>
      <c r="B1" s="2" t="s">
        <v>1</v>
      </c>
      <c r="C1" s="2" t="s">
        <v>2</v>
      </c>
      <c r="D1" s="16" t="s">
        <v>16</v>
      </c>
      <c r="E1" s="16" t="s">
        <v>3</v>
      </c>
      <c r="F1" s="16" t="s">
        <v>11</v>
      </c>
      <c r="G1" s="16" t="s">
        <v>12</v>
      </c>
      <c r="H1" s="16" t="s">
        <v>13</v>
      </c>
      <c r="I1" s="16" t="s">
        <v>14</v>
      </c>
      <c r="J1" s="16" t="s">
        <v>46</v>
      </c>
      <c r="K1" s="2"/>
    </row>
    <row r="2" spans="1:14">
      <c r="A2" s="1" t="s">
        <v>48</v>
      </c>
      <c r="B2" s="2">
        <v>0</v>
      </c>
      <c r="C2" s="2">
        <v>0</v>
      </c>
      <c r="D2" s="16">
        <v>0</v>
      </c>
      <c r="E2" s="16">
        <v>0</v>
      </c>
      <c r="F2" s="16">
        <v>0</v>
      </c>
      <c r="G2" s="16">
        <v>0</v>
      </c>
      <c r="H2" s="16">
        <v>0</v>
      </c>
      <c r="I2" s="16">
        <v>0</v>
      </c>
      <c r="J2" s="18" t="str">
        <f t="shared" ref="J2" si="0">IF(C2&lt;0,-E2*(B2-H2),"")</f>
        <v/>
      </c>
    </row>
    <row r="3" spans="1:14">
      <c r="A3" s="1" t="s">
        <v>33</v>
      </c>
      <c r="B3" s="2">
        <v>0.86750000000000005</v>
      </c>
      <c r="C3" s="2">
        <v>90</v>
      </c>
      <c r="D3" s="16">
        <f t="shared" ref="D3:D9" si="1">IF(C3&lt;0,0,C3*0.999)</f>
        <v>89.91</v>
      </c>
      <c r="E3" s="16">
        <f t="shared" ref="E3:E9" si="2">IF(C3&lt;0,C3,D3/B3)</f>
        <v>103.64265129682997</v>
      </c>
      <c r="F3" s="16">
        <f t="shared" ref="F3:F9" si="3">IF(C3&lt;0,F2+C3*H3,C3+F2)</f>
        <v>90</v>
      </c>
      <c r="G3" s="16">
        <f t="shared" ref="G3:G11" si="4">G2+E3</f>
        <v>103.64265129682997</v>
      </c>
      <c r="H3" s="16">
        <f t="shared" ref="H3:H9" si="5">IF(C3&lt;0,H2,F3/G3)</f>
        <v>0.86836836836836839</v>
      </c>
      <c r="I3" s="17">
        <f t="shared" ref="I3:I11" si="6">B3/H3-1</f>
        <v>-1.0000000000000009E-3</v>
      </c>
      <c r="J3" s="18" t="str">
        <f t="shared" ref="J2:J11" si="7">IF(C3&lt;0,-E3*(B3-H3),"")</f>
        <v/>
      </c>
      <c r="L3" s="4" t="s">
        <v>29</v>
      </c>
      <c r="M3" s="4" t="s">
        <v>28</v>
      </c>
      <c r="N3" s="5"/>
    </row>
    <row r="4" spans="1:14">
      <c r="A4" s="1" t="s">
        <v>35</v>
      </c>
      <c r="B4" s="2">
        <v>0.84089999999999998</v>
      </c>
      <c r="C4" s="2">
        <v>100</v>
      </c>
      <c r="D4" s="16">
        <f t="shared" si="1"/>
        <v>99.9</v>
      </c>
      <c r="E4" s="16">
        <f t="shared" si="2"/>
        <v>118.80128433820907</v>
      </c>
      <c r="F4" s="16">
        <f t="shared" si="3"/>
        <v>190</v>
      </c>
      <c r="G4" s="16">
        <f t="shared" si="4"/>
        <v>222.44393563503905</v>
      </c>
      <c r="H4" s="16">
        <f t="shared" si="5"/>
        <v>0.85414780788508704</v>
      </c>
      <c r="I4" s="17">
        <f t="shared" si="6"/>
        <v>-1.550997118155617E-2</v>
      </c>
      <c r="J4" s="18" t="str">
        <f t="shared" si="7"/>
        <v/>
      </c>
      <c r="L4" s="7">
        <v>0</v>
      </c>
      <c r="M4" s="8">
        <f>NumOfACol($B:$B)-1</f>
        <v>10</v>
      </c>
      <c r="N4" s="9"/>
    </row>
    <row r="5" spans="1:14">
      <c r="A5" s="1" t="s">
        <v>36</v>
      </c>
      <c r="B5" s="2">
        <v>0.83809999999999996</v>
      </c>
      <c r="C5" s="2">
        <v>10</v>
      </c>
      <c r="D5" s="16">
        <f t="shared" si="1"/>
        <v>9.99</v>
      </c>
      <c r="E5" s="16">
        <f t="shared" si="2"/>
        <v>11.919818637394107</v>
      </c>
      <c r="F5" s="16">
        <f t="shared" si="3"/>
        <v>200</v>
      </c>
      <c r="G5" s="16">
        <f t="shared" si="4"/>
        <v>234.36375427243317</v>
      </c>
      <c r="H5" s="16">
        <f t="shared" si="5"/>
        <v>0.85337427974256008</v>
      </c>
      <c r="I5" s="17">
        <f t="shared" si="6"/>
        <v>-1.7898687721368822E-2</v>
      </c>
      <c r="J5" s="18" t="str">
        <f t="shared" si="7"/>
        <v/>
      </c>
      <c r="L5" s="4" t="s">
        <v>30</v>
      </c>
      <c r="M5" s="8" t="s">
        <v>31</v>
      </c>
      <c r="N5" s="8" t="s">
        <v>32</v>
      </c>
    </row>
    <row r="6" spans="1:14">
      <c r="A6" s="1" t="s">
        <v>37</v>
      </c>
      <c r="B6" s="2">
        <v>0.85229999999999995</v>
      </c>
      <c r="C6" s="2">
        <v>10</v>
      </c>
      <c r="D6" s="16">
        <f t="shared" si="1"/>
        <v>9.99</v>
      </c>
      <c r="E6" s="16">
        <f t="shared" si="2"/>
        <v>11.721224920802536</v>
      </c>
      <c r="F6" s="16">
        <f t="shared" si="3"/>
        <v>210</v>
      </c>
      <c r="G6" s="16">
        <f t="shared" si="4"/>
        <v>246.08497919323571</v>
      </c>
      <c r="H6" s="16">
        <f t="shared" si="5"/>
        <v>0.85336374730576159</v>
      </c>
      <c r="I6" s="17">
        <f t="shared" si="6"/>
        <v>-1.2465344457390781E-3</v>
      </c>
      <c r="J6" s="18" t="str">
        <f t="shared" si="7"/>
        <v/>
      </c>
      <c r="L6" s="10">
        <f ca="1">N6/L8-1</f>
        <v>-9.5922728569275417E-4</v>
      </c>
      <c r="M6" s="10">
        <f ca="1">N8/L8-1</f>
        <v>-9.5922728569275417E-4</v>
      </c>
      <c r="N6" s="11">
        <f ca="1">OFFSET($B$1,M4,0)</f>
        <v>0.84489999999999998</v>
      </c>
    </row>
    <row r="7" spans="1:14">
      <c r="A7" s="1" t="s">
        <v>38</v>
      </c>
      <c r="B7" s="2">
        <v>0.84719999999999995</v>
      </c>
      <c r="C7" s="2">
        <v>90</v>
      </c>
      <c r="D7" s="16">
        <f t="shared" si="1"/>
        <v>89.91</v>
      </c>
      <c r="E7" s="16">
        <f t="shared" si="2"/>
        <v>106.12606232294618</v>
      </c>
      <c r="F7" s="16">
        <f t="shared" si="3"/>
        <v>300</v>
      </c>
      <c r="G7" s="16">
        <f t="shared" si="4"/>
        <v>352.21104151618192</v>
      </c>
      <c r="H7" s="16">
        <f t="shared" si="5"/>
        <v>0.85176205353635071</v>
      </c>
      <c r="I7" s="17">
        <f t="shared" si="6"/>
        <v>-5.3560187583022723E-3</v>
      </c>
      <c r="J7" s="18" t="str">
        <f t="shared" si="7"/>
        <v/>
      </c>
      <c r="L7" s="8" t="s">
        <v>26</v>
      </c>
      <c r="M7" s="8" t="s">
        <v>27</v>
      </c>
      <c r="N7" s="8" t="s">
        <v>25</v>
      </c>
    </row>
    <row r="8" spans="1:14">
      <c r="A8" s="1" t="s">
        <v>41</v>
      </c>
      <c r="B8" s="2">
        <v>0.83099999999999996</v>
      </c>
      <c r="C8" s="2">
        <v>20</v>
      </c>
      <c r="D8" s="16">
        <f t="shared" si="1"/>
        <v>19.98</v>
      </c>
      <c r="E8" s="16">
        <f t="shared" si="2"/>
        <v>24.04332129963899</v>
      </c>
      <c r="F8" s="16">
        <f t="shared" si="3"/>
        <v>320</v>
      </c>
      <c r="G8" s="16">
        <f t="shared" si="4"/>
        <v>376.25436281582091</v>
      </c>
      <c r="H8" s="16">
        <f t="shared" si="5"/>
        <v>0.85048847701107511</v>
      </c>
      <c r="I8" s="17">
        <f t="shared" si="6"/>
        <v>-2.2914451562665139E-2</v>
      </c>
      <c r="J8" s="18" t="str">
        <f t="shared" si="7"/>
        <v/>
      </c>
      <c r="L8" s="12">
        <f ca="1">OFFSET($H$1,M4,0)</f>
        <v>0.84571122928694875</v>
      </c>
      <c r="M8" s="12">
        <f ca="1">OFFSET($F$1,M4,0)</f>
        <v>299.98619002452546</v>
      </c>
      <c r="N8" s="12">
        <f ca="1">N6*(1+L4)</f>
        <v>0.84489999999999998</v>
      </c>
    </row>
    <row r="9" spans="1:14">
      <c r="A9" s="1" t="s">
        <v>42</v>
      </c>
      <c r="B9" s="2">
        <v>0.82630000000000003</v>
      </c>
      <c r="C9" s="2">
        <v>80</v>
      </c>
      <c r="D9" s="16">
        <f t="shared" si="1"/>
        <v>79.92</v>
      </c>
      <c r="E9" s="16">
        <f t="shared" si="2"/>
        <v>96.720319496550886</v>
      </c>
      <c r="F9" s="16">
        <f t="shared" si="3"/>
        <v>400</v>
      </c>
      <c r="G9" s="16">
        <f t="shared" si="4"/>
        <v>472.97468231237178</v>
      </c>
      <c r="H9" s="16">
        <f t="shared" si="5"/>
        <v>0.84571122928694875</v>
      </c>
      <c r="I9" s="17">
        <f t="shared" si="6"/>
        <v>-2.2952550013217943E-2</v>
      </c>
      <c r="J9" s="18" t="str">
        <f t="shared" si="7"/>
        <v/>
      </c>
    </row>
    <row r="10" spans="1:14">
      <c r="A10" s="1" t="s">
        <v>47</v>
      </c>
      <c r="B10" s="2">
        <v>0.84599999999999997</v>
      </c>
      <c r="C10" s="2">
        <v>-118.26</v>
      </c>
      <c r="D10" s="16">
        <f>IF(C10&lt;0,0,C10*0.999)</f>
        <v>0</v>
      </c>
      <c r="E10" s="16">
        <f>IF(C10&lt;0,C10,D10/B10)</f>
        <v>-118.26</v>
      </c>
      <c r="F10" s="16">
        <f>IF(C10&lt;0,F9+C10*H10,C10+F9)</f>
        <v>299.98619002452546</v>
      </c>
      <c r="G10" s="16">
        <f t="shared" si="4"/>
        <v>354.71468231237179</v>
      </c>
      <c r="H10" s="16">
        <f>IF(C10&lt;0,H9,F10/G10)</f>
        <v>0.84571122928694875</v>
      </c>
      <c r="I10" s="17">
        <f t="shared" si="6"/>
        <v>3.4145309066624385E-4</v>
      </c>
      <c r="J10" s="18">
        <f t="shared" si="7"/>
        <v>3.4150024525437625E-2</v>
      </c>
    </row>
    <row r="11" spans="1:14">
      <c r="A11" s="1" t="s">
        <v>44</v>
      </c>
      <c r="B11" s="2">
        <v>0.84489999999999998</v>
      </c>
      <c r="C11" s="2">
        <v>0</v>
      </c>
      <c r="D11" s="16">
        <f>IF(C11&lt;0,0,C11*0.999)</f>
        <v>0</v>
      </c>
      <c r="E11" s="16">
        <f>IF(C11&lt;0,C11,D11/B11)</f>
        <v>0</v>
      </c>
      <c r="F11" s="16">
        <f>IF(C11&lt;0,F10+C11*H11,C11+F10)</f>
        <v>299.98619002452546</v>
      </c>
      <c r="G11" s="16">
        <f t="shared" si="4"/>
        <v>354.71468231237179</v>
      </c>
      <c r="H11" s="16">
        <f>IF(C11&lt;0,H10,F11/G11)</f>
        <v>0.84571122928694875</v>
      </c>
      <c r="I11" s="17">
        <f t="shared" si="6"/>
        <v>-9.5922728569275417E-4</v>
      </c>
      <c r="J11" s="18" t="str">
        <f t="shared" si="7"/>
        <v/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N19"/>
  <sheetViews>
    <sheetView zoomScale="85" zoomScaleNormal="85" workbookViewId="0">
      <selection activeCell="R12" sqref="R12"/>
    </sheetView>
  </sheetViews>
  <sheetFormatPr defaultColWidth="9" defaultRowHeight="15.75"/>
  <cols>
    <col min="1" max="1" width="12.44140625" style="1" customWidth="1"/>
    <col min="2" max="2" width="9" style="2"/>
    <col min="3" max="3" width="5.88671875" style="2" customWidth="1"/>
    <col min="4" max="4" width="6.88671875" style="2" customWidth="1"/>
    <col min="5" max="5" width="9" style="2"/>
    <col min="6" max="6" width="8.88671875" style="2" customWidth="1"/>
    <col min="7" max="7" width="9.21875" style="2" customWidth="1"/>
    <col min="8" max="8" width="9" style="2"/>
    <col min="9" max="9" width="9.88671875" style="2" customWidth="1"/>
    <col min="10" max="10" width="9.33203125" style="3" customWidth="1"/>
    <col min="11" max="11" width="15.33203125" style="2" customWidth="1"/>
    <col min="12" max="12" width="12.21875" style="2" customWidth="1"/>
    <col min="13" max="13" width="14.88671875" style="2" customWidth="1"/>
    <col min="14" max="14" width="12" style="2" customWidth="1"/>
    <col min="15" max="16384" width="9" style="2"/>
  </cols>
  <sheetData>
    <row r="1" spans="1:14">
      <c r="A1" s="1" t="s">
        <v>0</v>
      </c>
      <c r="B1" s="2" t="s">
        <v>1</v>
      </c>
      <c r="C1" s="2" t="s">
        <v>2</v>
      </c>
      <c r="D1" s="16" t="s">
        <v>16</v>
      </c>
      <c r="E1" s="16" t="s">
        <v>3</v>
      </c>
      <c r="F1" s="16" t="s">
        <v>11</v>
      </c>
      <c r="G1" s="16" t="s">
        <v>12</v>
      </c>
      <c r="H1" s="16" t="s">
        <v>13</v>
      </c>
      <c r="I1" s="16" t="s">
        <v>14</v>
      </c>
      <c r="J1" s="16" t="s">
        <v>46</v>
      </c>
    </row>
    <row r="2" spans="1:14">
      <c r="A2" s="1" t="s">
        <v>48</v>
      </c>
      <c r="B2" s="2">
        <v>0</v>
      </c>
      <c r="C2" s="2">
        <v>0</v>
      </c>
      <c r="D2" s="16">
        <v>0</v>
      </c>
      <c r="E2" s="16">
        <v>0</v>
      </c>
      <c r="F2" s="16">
        <v>0</v>
      </c>
      <c r="G2" s="16">
        <v>0</v>
      </c>
      <c r="H2" s="16">
        <v>0</v>
      </c>
      <c r="I2" s="16">
        <v>0</v>
      </c>
      <c r="J2" s="18" t="str">
        <f t="shared" ref="J2:J3" si="0">IF(C2&lt;0,-E2*(B2-H2),"")</f>
        <v/>
      </c>
    </row>
    <row r="3" spans="1:14">
      <c r="A3" s="1" t="s">
        <v>4</v>
      </c>
      <c r="B3" s="2">
        <v>0.59440000000000004</v>
      </c>
      <c r="C3" s="2">
        <v>10</v>
      </c>
      <c r="D3" s="16">
        <f t="shared" ref="D2:D17" si="1">IF(C3&lt;0,0,C3)</f>
        <v>10</v>
      </c>
      <c r="E3" s="16">
        <f t="shared" ref="E3" si="2">IF(C3&lt;0,C3,D3/B3)</f>
        <v>16.823687752355315</v>
      </c>
      <c r="F3" s="16">
        <f t="shared" ref="F3" si="3">IF(C3&lt;0,F2+C3*H3,C3+F2)</f>
        <v>10</v>
      </c>
      <c r="G3" s="16">
        <f t="shared" ref="G3" si="4">G2+E3</f>
        <v>16.823687752355315</v>
      </c>
      <c r="H3" s="16">
        <f t="shared" ref="H3" si="5">IF(C3&lt;0,H2,F3/G3)</f>
        <v>0.59440000000000004</v>
      </c>
      <c r="I3" s="17">
        <f t="shared" ref="I3" si="6">B3/H3-1</f>
        <v>0</v>
      </c>
      <c r="J3" s="18" t="str">
        <f t="shared" si="0"/>
        <v/>
      </c>
    </row>
    <row r="4" spans="1:14">
      <c r="A4" s="1" t="s">
        <v>5</v>
      </c>
      <c r="B4" s="2">
        <v>0.5978</v>
      </c>
      <c r="C4" s="2">
        <v>10</v>
      </c>
      <c r="D4" s="16">
        <f t="shared" si="1"/>
        <v>10</v>
      </c>
      <c r="E4" s="16">
        <f t="shared" ref="E4:E17" si="7">IF(C4&lt;0,C4,D4/B4)</f>
        <v>16.728002676480429</v>
      </c>
      <c r="F4" s="16">
        <f t="shared" ref="F4:F17" si="8">IF(C4&lt;0,F3+C4*H4,C4+F3)</f>
        <v>20</v>
      </c>
      <c r="G4" s="16">
        <f t="shared" ref="G4:G19" si="9">G3+E4</f>
        <v>33.551690428835741</v>
      </c>
      <c r="H4" s="16">
        <f t="shared" ref="H4:H17" si="10">IF(C4&lt;0,H3,F4/G4)</f>
        <v>0.59609515182016448</v>
      </c>
      <c r="I4" s="17">
        <f t="shared" ref="I4:I19" si="11">B4/H4-1</f>
        <v>2.8600269179002158E-3</v>
      </c>
      <c r="J4" s="18" t="str">
        <f t="shared" ref="J4:J17" si="12">IF(C4&lt;0,-E4*(B4-H4),"")</f>
        <v/>
      </c>
    </row>
    <row r="5" spans="1:14">
      <c r="A5" s="1" t="s">
        <v>6</v>
      </c>
      <c r="B5" s="2">
        <v>0.58940000000000003</v>
      </c>
      <c r="C5" s="2">
        <v>10</v>
      </c>
      <c r="D5" s="16">
        <f t="shared" si="1"/>
        <v>10</v>
      </c>
      <c r="E5" s="16">
        <f t="shared" si="7"/>
        <v>16.9664065151001</v>
      </c>
      <c r="F5" s="16">
        <f t="shared" si="8"/>
        <v>30</v>
      </c>
      <c r="G5" s="16">
        <f t="shared" si="9"/>
        <v>50.518096943935845</v>
      </c>
      <c r="H5" s="16">
        <f t="shared" si="10"/>
        <v>0.59384659784974692</v>
      </c>
      <c r="I5" s="17">
        <f t="shared" si="11"/>
        <v>-7.4877887081403749E-3</v>
      </c>
      <c r="J5" s="18" t="str">
        <f t="shared" si="12"/>
        <v/>
      </c>
    </row>
    <row r="6" spans="1:14">
      <c r="A6" s="1" t="s">
        <v>7</v>
      </c>
      <c r="B6" s="2">
        <v>0.58479999999999999</v>
      </c>
      <c r="C6" s="2">
        <v>10</v>
      </c>
      <c r="D6" s="16">
        <f t="shared" si="1"/>
        <v>10</v>
      </c>
      <c r="E6" s="16">
        <f t="shared" si="7"/>
        <v>17.09986320109439</v>
      </c>
      <c r="F6" s="16">
        <f t="shared" si="8"/>
        <v>40</v>
      </c>
      <c r="G6" s="16">
        <f t="shared" si="9"/>
        <v>67.617960145030239</v>
      </c>
      <c r="H6" s="16">
        <f t="shared" si="10"/>
        <v>0.59155880943770089</v>
      </c>
      <c r="I6" s="17">
        <f t="shared" si="11"/>
        <v>-1.1425422679657848E-2</v>
      </c>
      <c r="J6" s="18" t="str">
        <f t="shared" si="12"/>
        <v/>
      </c>
    </row>
    <row r="7" spans="1:14">
      <c r="A7" s="1" t="s">
        <v>8</v>
      </c>
      <c r="B7" s="2">
        <v>0.60899999999999999</v>
      </c>
      <c r="C7" s="2">
        <v>10</v>
      </c>
      <c r="D7" s="16">
        <f t="shared" si="1"/>
        <v>10</v>
      </c>
      <c r="E7" s="16">
        <f t="shared" si="7"/>
        <v>16.420361247947454</v>
      </c>
      <c r="F7" s="16">
        <f t="shared" si="8"/>
        <v>50</v>
      </c>
      <c r="G7" s="16">
        <f t="shared" si="9"/>
        <v>84.038321392977693</v>
      </c>
      <c r="H7" s="16">
        <f t="shared" si="10"/>
        <v>0.594966667244475</v>
      </c>
      <c r="I7" s="17">
        <f t="shared" si="11"/>
        <v>2.3586754566468304E-2</v>
      </c>
      <c r="J7" s="18" t="str">
        <f t="shared" si="12"/>
        <v/>
      </c>
    </row>
    <row r="8" spans="1:14">
      <c r="A8" s="1" t="s">
        <v>9</v>
      </c>
      <c r="B8" s="2">
        <v>0.59730000000000005</v>
      </c>
      <c r="C8" s="2">
        <v>20</v>
      </c>
      <c r="D8" s="16">
        <f t="shared" si="1"/>
        <v>20</v>
      </c>
      <c r="E8" s="16">
        <f t="shared" si="7"/>
        <v>33.484011384563871</v>
      </c>
      <c r="F8" s="16">
        <f t="shared" si="8"/>
        <v>70</v>
      </c>
      <c r="G8" s="16">
        <f t="shared" si="9"/>
        <v>117.52233277754156</v>
      </c>
      <c r="H8" s="16">
        <f t="shared" si="10"/>
        <v>0.59563147144554429</v>
      </c>
      <c r="I8" s="17">
        <f t="shared" si="11"/>
        <v>2.8012766860796567E-3</v>
      </c>
      <c r="J8" s="18" t="str">
        <f t="shared" si="12"/>
        <v/>
      </c>
      <c r="L8" s="4" t="s">
        <v>29</v>
      </c>
      <c r="M8" s="4" t="s">
        <v>28</v>
      </c>
      <c r="N8" s="5"/>
    </row>
    <row r="9" spans="1:14">
      <c r="A9" s="1" t="s">
        <v>10</v>
      </c>
      <c r="B9" s="2">
        <v>0.59419999999999995</v>
      </c>
      <c r="C9" s="2">
        <v>10</v>
      </c>
      <c r="D9" s="16">
        <f t="shared" si="1"/>
        <v>10</v>
      </c>
      <c r="E9" s="16">
        <f t="shared" si="7"/>
        <v>16.82935038707506</v>
      </c>
      <c r="F9" s="16">
        <f t="shared" si="8"/>
        <v>80</v>
      </c>
      <c r="G9" s="16">
        <f t="shared" si="9"/>
        <v>134.35168316461662</v>
      </c>
      <c r="H9" s="16">
        <f t="shared" si="10"/>
        <v>0.59545216044654004</v>
      </c>
      <c r="I9" s="17">
        <f t="shared" si="11"/>
        <v>-2.1028732948101814E-3</v>
      </c>
      <c r="J9" s="18" t="str">
        <f t="shared" si="12"/>
        <v/>
      </c>
      <c r="L9" s="7">
        <v>0</v>
      </c>
      <c r="M9" s="8">
        <f>NumOfACol($B:$B)-1</f>
        <v>18</v>
      </c>
      <c r="N9" s="9"/>
    </row>
    <row r="10" spans="1:14">
      <c r="A10" s="1" t="s">
        <v>17</v>
      </c>
      <c r="B10" s="2">
        <v>0.6069</v>
      </c>
      <c r="C10" s="2">
        <v>10</v>
      </c>
      <c r="D10" s="16">
        <f t="shared" si="1"/>
        <v>10</v>
      </c>
      <c r="E10" s="16">
        <f t="shared" si="7"/>
        <v>16.477179106936891</v>
      </c>
      <c r="F10" s="16">
        <f t="shared" si="8"/>
        <v>90</v>
      </c>
      <c r="G10" s="16">
        <f t="shared" si="9"/>
        <v>150.8288622715535</v>
      </c>
      <c r="H10" s="16">
        <f t="shared" si="10"/>
        <v>0.59670277057426369</v>
      </c>
      <c r="I10" s="17">
        <f t="shared" si="11"/>
        <v>1.708929458450914E-2</v>
      </c>
      <c r="J10" s="18" t="str">
        <f t="shared" si="12"/>
        <v/>
      </c>
      <c r="L10" s="4" t="s">
        <v>30</v>
      </c>
      <c r="M10" s="8" t="s">
        <v>31</v>
      </c>
      <c r="N10" s="8" t="s">
        <v>32</v>
      </c>
    </row>
    <row r="11" spans="1:14">
      <c r="A11" s="1" t="s">
        <v>33</v>
      </c>
      <c r="B11" s="2">
        <v>0.6089</v>
      </c>
      <c r="C11" s="2">
        <v>10</v>
      </c>
      <c r="D11" s="16">
        <f t="shared" si="1"/>
        <v>10</v>
      </c>
      <c r="E11" s="16">
        <f t="shared" si="7"/>
        <v>16.423057973394645</v>
      </c>
      <c r="F11" s="16">
        <f t="shared" si="8"/>
        <v>100</v>
      </c>
      <c r="G11" s="16">
        <f t="shared" si="9"/>
        <v>167.25192024494814</v>
      </c>
      <c r="H11" s="16">
        <f t="shared" si="10"/>
        <v>0.59790045969903005</v>
      </c>
      <c r="I11" s="17">
        <f t="shared" si="11"/>
        <v>1.8396942371489144E-2</v>
      </c>
      <c r="J11" s="18" t="str">
        <f t="shared" si="12"/>
        <v/>
      </c>
      <c r="L11" s="10">
        <f ca="1">N11/L13-1</f>
        <v>1.8553976143333095E-2</v>
      </c>
      <c r="M11" s="10">
        <f ca="1">N13/L13-1</f>
        <v>1.8553976143333095E-2</v>
      </c>
      <c r="N11" s="11">
        <f ca="1">OFFSET($B$1,M9,0)</f>
        <v>0.5978</v>
      </c>
    </row>
    <row r="12" spans="1:14">
      <c r="A12" s="1" t="s">
        <v>35</v>
      </c>
      <c r="B12" s="2">
        <v>0.58789999999999998</v>
      </c>
      <c r="C12" s="2">
        <v>60</v>
      </c>
      <c r="D12" s="16">
        <f t="shared" si="1"/>
        <v>60</v>
      </c>
      <c r="E12" s="16">
        <f t="shared" si="7"/>
        <v>102.05817315870047</v>
      </c>
      <c r="F12" s="16">
        <f t="shared" si="8"/>
        <v>160</v>
      </c>
      <c r="G12" s="16">
        <f t="shared" si="9"/>
        <v>269.31009340364858</v>
      </c>
      <c r="H12" s="16">
        <f t="shared" si="10"/>
        <v>0.59411066988933114</v>
      </c>
      <c r="I12" s="17">
        <f t="shared" si="11"/>
        <v>-1.0453725549968818E-2</v>
      </c>
      <c r="J12" s="18" t="str">
        <f t="shared" si="12"/>
        <v/>
      </c>
      <c r="L12" s="8" t="s">
        <v>26</v>
      </c>
      <c r="M12" s="8" t="s">
        <v>27</v>
      </c>
      <c r="N12" s="8" t="s">
        <v>25</v>
      </c>
    </row>
    <row r="13" spans="1:14">
      <c r="A13" s="1" t="s">
        <v>36</v>
      </c>
      <c r="B13" s="2">
        <v>0.58440000000000003</v>
      </c>
      <c r="C13" s="2">
        <v>30</v>
      </c>
      <c r="D13" s="16">
        <f t="shared" si="1"/>
        <v>30</v>
      </c>
      <c r="E13" s="16">
        <f t="shared" si="7"/>
        <v>51.3347022587269</v>
      </c>
      <c r="F13" s="16">
        <f t="shared" si="8"/>
        <v>190</v>
      </c>
      <c r="G13" s="16">
        <f t="shared" si="9"/>
        <v>320.64479566237549</v>
      </c>
      <c r="H13" s="16">
        <f t="shared" si="10"/>
        <v>0.5925560076766736</v>
      </c>
      <c r="I13" s="17">
        <f t="shared" si="11"/>
        <v>-1.3764112710040854E-2</v>
      </c>
      <c r="J13" s="18" t="str">
        <f t="shared" si="12"/>
        <v/>
      </c>
      <c r="L13" s="12">
        <f ca="1">OFFSET($H$1,M9,0)</f>
        <v>0.58691047701126087</v>
      </c>
      <c r="M13" s="12">
        <f ca="1">OFFSET($F$1,M9,0)</f>
        <v>200.00219292682141</v>
      </c>
      <c r="N13" s="12">
        <f ca="1">N11*(1+L9)</f>
        <v>0.5978</v>
      </c>
    </row>
    <row r="14" spans="1:14">
      <c r="A14" s="1" t="s">
        <v>37</v>
      </c>
      <c r="B14" s="2">
        <v>0.59340000000000004</v>
      </c>
      <c r="C14" s="2">
        <v>10</v>
      </c>
      <c r="D14" s="16">
        <f t="shared" si="1"/>
        <v>10</v>
      </c>
      <c r="E14" s="16">
        <f t="shared" si="7"/>
        <v>16.852039096730703</v>
      </c>
      <c r="F14" s="16">
        <f t="shared" si="8"/>
        <v>200</v>
      </c>
      <c r="G14" s="16">
        <f t="shared" si="9"/>
        <v>337.49683475910621</v>
      </c>
      <c r="H14" s="16">
        <f t="shared" si="10"/>
        <v>0.59259815026932983</v>
      </c>
      <c r="I14" s="17">
        <f t="shared" si="11"/>
        <v>1.353108730268282E-3</v>
      </c>
      <c r="J14" s="18" t="str">
        <f t="shared" si="12"/>
        <v/>
      </c>
    </row>
    <row r="15" spans="1:14">
      <c r="A15" s="1" t="s">
        <v>38</v>
      </c>
      <c r="B15" s="2">
        <v>0.59160000000000001</v>
      </c>
      <c r="C15" s="2">
        <v>0</v>
      </c>
      <c r="D15" s="16">
        <f t="shared" si="1"/>
        <v>0</v>
      </c>
      <c r="E15" s="16">
        <f t="shared" si="7"/>
        <v>0</v>
      </c>
      <c r="F15" s="16">
        <f t="shared" si="8"/>
        <v>200</v>
      </c>
      <c r="G15" s="16">
        <f t="shared" si="9"/>
        <v>337.49683475910621</v>
      </c>
      <c r="H15" s="16">
        <f t="shared" si="10"/>
        <v>0.59259815026932983</v>
      </c>
      <c r="I15" s="17">
        <f t="shared" si="11"/>
        <v>-1.6843627825637864E-3</v>
      </c>
      <c r="J15" s="18" t="str">
        <f t="shared" si="12"/>
        <v/>
      </c>
    </row>
    <row r="16" spans="1:14">
      <c r="A16" s="1" t="s">
        <v>41</v>
      </c>
      <c r="B16" s="2">
        <v>0.5776</v>
      </c>
      <c r="C16" s="2">
        <v>40</v>
      </c>
      <c r="D16" s="16">
        <f t="shared" si="1"/>
        <v>40</v>
      </c>
      <c r="E16" s="16">
        <f t="shared" si="7"/>
        <v>69.252077562326875</v>
      </c>
      <c r="F16" s="16">
        <f t="shared" si="8"/>
        <v>240</v>
      </c>
      <c r="G16" s="16">
        <f t="shared" si="9"/>
        <v>406.74891232143307</v>
      </c>
      <c r="H16" s="16">
        <f t="shared" si="10"/>
        <v>0.59004460179192841</v>
      </c>
      <c r="I16" s="17">
        <f t="shared" si="11"/>
        <v>-2.1090951013084336E-2</v>
      </c>
      <c r="J16" s="18" t="str">
        <f t="shared" si="12"/>
        <v/>
      </c>
    </row>
    <row r="17" spans="1:10">
      <c r="A17" s="1" t="s">
        <v>42</v>
      </c>
      <c r="B17" s="2">
        <v>0.57469999999999999</v>
      </c>
      <c r="C17" s="2">
        <v>60</v>
      </c>
      <c r="D17" s="16">
        <f t="shared" si="1"/>
        <v>60</v>
      </c>
      <c r="E17" s="16">
        <f t="shared" si="7"/>
        <v>104.40229685053072</v>
      </c>
      <c r="F17" s="16">
        <f t="shared" si="8"/>
        <v>300</v>
      </c>
      <c r="G17" s="16">
        <f t="shared" si="9"/>
        <v>511.15120917196379</v>
      </c>
      <c r="H17" s="16">
        <f t="shared" si="10"/>
        <v>0.58691047701126076</v>
      </c>
      <c r="I17" s="17">
        <f t="shared" si="11"/>
        <v>-2.0804666962908058E-2</v>
      </c>
      <c r="J17" s="18" t="str">
        <f t="shared" si="12"/>
        <v/>
      </c>
    </row>
    <row r="18" spans="1:10">
      <c r="A18" s="1" t="s">
        <v>43</v>
      </c>
      <c r="B18" s="2">
        <v>0.59279999999999999</v>
      </c>
      <c r="C18" s="2">
        <v>-170.38</v>
      </c>
      <c r="D18" s="16">
        <f>IF(C18&lt;0,0,C18)</f>
        <v>0</v>
      </c>
      <c r="E18" s="16">
        <f>IF(C18&lt;0,C18,D18/B18)</f>
        <v>-170.38</v>
      </c>
      <c r="F18" s="16">
        <f>IF(C18&lt;0,F17+C18*H18,C18+F17)</f>
        <v>200.00219292682141</v>
      </c>
      <c r="G18" s="16">
        <f t="shared" si="9"/>
        <v>340.77120917196379</v>
      </c>
      <c r="H18" s="16">
        <f>IF(C18&lt;0,H17,F18/G18)</f>
        <v>0.58691047701126076</v>
      </c>
      <c r="I18" s="17">
        <f t="shared" si="11"/>
        <v>1.0034789323800419E-2</v>
      </c>
      <c r="J18" s="18">
        <f>IF(C18&lt;0,-E18*(B18-H18),"")</f>
        <v>1.0034569268213913</v>
      </c>
    </row>
    <row r="19" spans="1:10">
      <c r="A19" s="1" t="s">
        <v>45</v>
      </c>
      <c r="B19" s="2">
        <v>0.5978</v>
      </c>
      <c r="C19" s="2">
        <v>0</v>
      </c>
      <c r="D19" s="16">
        <f>IF(C19&lt;0,0,C19)</f>
        <v>0</v>
      </c>
      <c r="E19" s="16">
        <f>IF(C19&lt;0,C19,D19/B19)</f>
        <v>0</v>
      </c>
      <c r="F19" s="16">
        <f>IF(C19&lt;0,F18+C19*H19,C19+F18)</f>
        <v>200.00219292682141</v>
      </c>
      <c r="G19" s="16">
        <f t="shared" si="9"/>
        <v>340.77120917196379</v>
      </c>
      <c r="H19" s="16">
        <f>IF(C19&lt;0,H18,F19/G19)</f>
        <v>0.58691047701126087</v>
      </c>
      <c r="I19" s="17">
        <f t="shared" si="11"/>
        <v>1.8553976143333095E-2</v>
      </c>
      <c r="J19" s="18" t="str">
        <f t="shared" ref="J19" si="13">IF(C19&lt;0,-E19*(B19-H19),"")</f>
        <v/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K41"/>
  <sheetViews>
    <sheetView zoomScale="85" zoomScaleNormal="85" workbookViewId="0">
      <selection activeCell="S12" sqref="S12"/>
    </sheetView>
  </sheetViews>
  <sheetFormatPr defaultColWidth="9" defaultRowHeight="15.75"/>
  <cols>
    <col min="1" max="1" width="9" style="2"/>
    <col min="2" max="2" width="8.44140625" style="2" customWidth="1"/>
    <col min="3" max="3" width="12.6640625" style="2" customWidth="1"/>
    <col min="4" max="5" width="9" style="2"/>
    <col min="6" max="6" width="14.33203125" style="2" customWidth="1"/>
    <col min="7" max="8" width="9" style="2"/>
    <col min="9" max="9" width="15.6640625" style="2" customWidth="1"/>
    <col min="10" max="16384" width="9" style="2"/>
  </cols>
  <sheetData>
    <row r="1" spans="1:11" ht="34.5" customHeight="1">
      <c r="A1" s="13" t="s">
        <v>19</v>
      </c>
      <c r="B1" s="13" t="s">
        <v>20</v>
      </c>
      <c r="C1" s="13" t="s">
        <v>24</v>
      </c>
      <c r="D1" s="13" t="s">
        <v>21</v>
      </c>
      <c r="E1" s="13" t="s">
        <v>22</v>
      </c>
      <c r="F1" s="13" t="s">
        <v>23</v>
      </c>
      <c r="G1" s="14"/>
      <c r="H1" s="2" t="s">
        <v>18</v>
      </c>
      <c r="I1" s="2" t="str">
        <f>IF(C2&gt;A2,"Don't invest!!!","Try invest.")</f>
        <v>Try invest.</v>
      </c>
      <c r="K1" s="6">
        <f>C2/A2-1</f>
        <v>-7.2623473088092583E-3</v>
      </c>
    </row>
    <row r="2" spans="1:11">
      <c r="A2" s="15">
        <v>1.1017734615332837</v>
      </c>
      <c r="B2" s="15">
        <v>90</v>
      </c>
      <c r="C2" s="15">
        <v>1.093772</v>
      </c>
      <c r="D2" s="2">
        <v>10</v>
      </c>
      <c r="E2" s="2">
        <f t="shared" ref="E2:E17" si="0">(B2+D2)/(B2/A2+D2/C2)</f>
        <v>1.1009680511268676</v>
      </c>
      <c r="F2" s="2">
        <f>-100*(1-E2/A2)</f>
        <v>-7.3101271226416742E-2</v>
      </c>
    </row>
    <row r="3" spans="1:11">
      <c r="A3" s="2">
        <f>A2</f>
        <v>1.1017734615332837</v>
      </c>
      <c r="B3" s="2">
        <f>B2</f>
        <v>90</v>
      </c>
      <c r="C3" s="2">
        <f>C2</f>
        <v>1.093772</v>
      </c>
      <c r="D3" s="2">
        <v>20</v>
      </c>
      <c r="E3" s="2">
        <f t="shared" si="0"/>
        <v>1.1003099543017558</v>
      </c>
      <c r="F3" s="2">
        <f t="shared" ref="F3:F21" si="1">-100*(1-E3/A3)</f>
        <v>-0.13283195526340164</v>
      </c>
    </row>
    <row r="4" spans="1:11">
      <c r="A4" s="2">
        <f t="shared" ref="A4:A17" si="2">A3</f>
        <v>1.1017734615332837</v>
      </c>
      <c r="B4" s="2">
        <f t="shared" ref="B4:B17" si="3">B3</f>
        <v>90</v>
      </c>
      <c r="C4" s="2">
        <f t="shared" ref="C4:C17" si="4">C3</f>
        <v>1.093772</v>
      </c>
      <c r="D4" s="2">
        <v>30</v>
      </c>
      <c r="E4" s="2">
        <f t="shared" si="0"/>
        <v>1.0997621409685951</v>
      </c>
      <c r="F4" s="2">
        <f t="shared" si="1"/>
        <v>-0.18255300521483608</v>
      </c>
    </row>
    <row r="5" spans="1:11">
      <c r="A5" s="2">
        <f t="shared" si="2"/>
        <v>1.1017734615332837</v>
      </c>
      <c r="B5" s="2">
        <f t="shared" si="3"/>
        <v>90</v>
      </c>
      <c r="C5" s="2">
        <f t="shared" si="4"/>
        <v>1.093772</v>
      </c>
      <c r="D5" s="2">
        <v>40</v>
      </c>
      <c r="E5" s="2">
        <f t="shared" si="0"/>
        <v>1.0992990324870331</v>
      </c>
      <c r="F5" s="2">
        <f t="shared" si="1"/>
        <v>-0.22458600907006021</v>
      </c>
    </row>
    <row r="6" spans="1:11">
      <c r="A6" s="2">
        <f t="shared" si="2"/>
        <v>1.1017734615332837</v>
      </c>
      <c r="B6" s="2">
        <f t="shared" si="3"/>
        <v>90</v>
      </c>
      <c r="C6" s="2">
        <f t="shared" si="4"/>
        <v>1.093772</v>
      </c>
      <c r="D6" s="2">
        <v>50</v>
      </c>
      <c r="E6" s="2">
        <f t="shared" si="0"/>
        <v>1.0989023926790751</v>
      </c>
      <c r="F6" s="2">
        <f t="shared" si="1"/>
        <v>-0.26058613267132547</v>
      </c>
    </row>
    <row r="7" spans="1:11">
      <c r="A7" s="2">
        <f t="shared" si="2"/>
        <v>1.1017734615332837</v>
      </c>
      <c r="B7" s="2">
        <f t="shared" si="3"/>
        <v>90</v>
      </c>
      <c r="C7" s="2">
        <f t="shared" si="4"/>
        <v>1.093772</v>
      </c>
      <c r="D7" s="2">
        <v>60</v>
      </c>
      <c r="E7" s="2">
        <f t="shared" si="0"/>
        <v>1.0985588696302566</v>
      </c>
      <c r="F7" s="2">
        <f t="shared" si="1"/>
        <v>-0.29176523262354204</v>
      </c>
    </row>
    <row r="8" spans="1:11">
      <c r="A8" s="2">
        <f t="shared" si="2"/>
        <v>1.1017734615332837</v>
      </c>
      <c r="B8" s="2">
        <f t="shared" si="3"/>
        <v>90</v>
      </c>
      <c r="C8" s="2">
        <f t="shared" si="4"/>
        <v>1.093772</v>
      </c>
      <c r="D8" s="2">
        <v>70</v>
      </c>
      <c r="E8" s="2">
        <f t="shared" si="0"/>
        <v>1.0982584630965384</v>
      </c>
      <c r="F8" s="2">
        <f t="shared" si="1"/>
        <v>-0.31903095867399367</v>
      </c>
    </row>
    <row r="9" spans="1:11">
      <c r="A9" s="2">
        <f t="shared" si="2"/>
        <v>1.1017734615332837</v>
      </c>
      <c r="B9" s="2">
        <f t="shared" si="3"/>
        <v>90</v>
      </c>
      <c r="C9" s="2">
        <f t="shared" si="4"/>
        <v>1.093772</v>
      </c>
      <c r="D9" s="2">
        <v>80</v>
      </c>
      <c r="E9" s="2">
        <f t="shared" si="0"/>
        <v>1.097993534914139</v>
      </c>
      <c r="F9" s="2">
        <f t="shared" si="1"/>
        <v>-0.34307657164698302</v>
      </c>
    </row>
    <row r="10" spans="1:11">
      <c r="A10" s="2">
        <f t="shared" si="2"/>
        <v>1.1017734615332837</v>
      </c>
      <c r="B10" s="2">
        <f t="shared" si="3"/>
        <v>90</v>
      </c>
      <c r="C10" s="2">
        <f t="shared" si="4"/>
        <v>1.093772</v>
      </c>
      <c r="D10" s="2">
        <v>90</v>
      </c>
      <c r="E10" s="2">
        <f t="shared" si="0"/>
        <v>1.0977581504749123</v>
      </c>
      <c r="F10" s="2">
        <f t="shared" si="1"/>
        <v>-0.36444071295594904</v>
      </c>
    </row>
    <row r="11" spans="1:11">
      <c r="A11" s="2">
        <f t="shared" si="2"/>
        <v>1.1017734615332837</v>
      </c>
      <c r="B11" s="2">
        <f t="shared" si="3"/>
        <v>90</v>
      </c>
      <c r="C11" s="2">
        <f t="shared" si="4"/>
        <v>1.093772</v>
      </c>
      <c r="D11" s="2">
        <v>100</v>
      </c>
      <c r="E11" s="2">
        <f t="shared" si="0"/>
        <v>1.0975476288747175</v>
      </c>
      <c r="F11" s="2">
        <f t="shared" si="1"/>
        <v>-0.38354823437890539</v>
      </c>
    </row>
    <row r="12" spans="1:11">
      <c r="A12" s="2">
        <f t="shared" si="2"/>
        <v>1.1017734615332837</v>
      </c>
      <c r="B12" s="2">
        <f t="shared" si="3"/>
        <v>90</v>
      </c>
      <c r="C12" s="2">
        <f t="shared" si="4"/>
        <v>1.093772</v>
      </c>
      <c r="D12" s="2">
        <v>110</v>
      </c>
      <c r="E12" s="2">
        <f t="shared" si="0"/>
        <v>1.0973582284597645</v>
      </c>
      <c r="F12" s="2">
        <f t="shared" si="1"/>
        <v>-0.40073873873988086</v>
      </c>
    </row>
    <row r="13" spans="1:11">
      <c r="A13" s="2">
        <f t="shared" si="2"/>
        <v>1.1017734615332837</v>
      </c>
      <c r="B13" s="2">
        <f t="shared" si="3"/>
        <v>90</v>
      </c>
      <c r="C13" s="2">
        <f t="shared" si="4"/>
        <v>1.093772</v>
      </c>
      <c r="D13" s="2">
        <v>120</v>
      </c>
      <c r="E13" s="2">
        <f t="shared" si="0"/>
        <v>1.0971869224973685</v>
      </c>
      <c r="F13" s="2">
        <f t="shared" si="1"/>
        <v>-0.41628694065042326</v>
      </c>
    </row>
    <row r="14" spans="1:11">
      <c r="A14" s="2">
        <f t="shared" si="2"/>
        <v>1.1017734615332837</v>
      </c>
      <c r="B14" s="2">
        <f t="shared" si="3"/>
        <v>90</v>
      </c>
      <c r="C14" s="2">
        <f t="shared" si="4"/>
        <v>1.093772</v>
      </c>
      <c r="D14" s="2">
        <v>130</v>
      </c>
      <c r="E14" s="2">
        <f t="shared" si="0"/>
        <v>1.0970312362097139</v>
      </c>
      <c r="F14" s="2">
        <f t="shared" si="1"/>
        <v>-0.43041745777487872</v>
      </c>
    </row>
    <row r="15" spans="1:11">
      <c r="A15" s="2">
        <f t="shared" si="2"/>
        <v>1.1017734615332837</v>
      </c>
      <c r="B15" s="2">
        <f t="shared" si="3"/>
        <v>90</v>
      </c>
      <c r="C15" s="2">
        <f t="shared" si="4"/>
        <v>1.093772</v>
      </c>
      <c r="D15" s="2">
        <v>140</v>
      </c>
      <c r="E15" s="2">
        <f t="shared" si="0"/>
        <v>1.096889126441708</v>
      </c>
      <c r="F15" s="2">
        <f t="shared" si="1"/>
        <v>-0.443315732508065</v>
      </c>
    </row>
    <row r="16" spans="1:11">
      <c r="A16" s="2">
        <f t="shared" si="2"/>
        <v>1.1017734615332837</v>
      </c>
      <c r="B16" s="2">
        <f t="shared" si="3"/>
        <v>90</v>
      </c>
      <c r="C16" s="2">
        <f t="shared" si="4"/>
        <v>1.093772</v>
      </c>
      <c r="D16" s="2">
        <v>150</v>
      </c>
      <c r="E16" s="2">
        <f t="shared" si="0"/>
        <v>1.0967588914940203</v>
      </c>
      <c r="F16" s="2">
        <f t="shared" si="1"/>
        <v>-0.4551362157775074</v>
      </c>
    </row>
    <row r="17" spans="1:6">
      <c r="A17" s="2">
        <f t="shared" si="2"/>
        <v>1.1017734615332837</v>
      </c>
      <c r="B17" s="2">
        <f t="shared" si="3"/>
        <v>90</v>
      </c>
      <c r="C17" s="2">
        <f t="shared" si="4"/>
        <v>1.093772</v>
      </c>
      <c r="D17" s="2">
        <v>160</v>
      </c>
      <c r="E17" s="2">
        <f t="shared" si="0"/>
        <v>1.096639102652919</v>
      </c>
      <c r="F17" s="2">
        <f t="shared" si="1"/>
        <v>-0.4660085815844095</v>
      </c>
    </row>
    <row r="18" spans="1:6">
      <c r="A18" s="2">
        <f t="shared" ref="A18:A41" si="5">A17</f>
        <v>1.1017734615332837</v>
      </c>
      <c r="B18" s="2">
        <f t="shared" ref="B18:B41" si="6">B17</f>
        <v>90</v>
      </c>
      <c r="C18" s="2">
        <f t="shared" ref="C18:C41" si="7">C17</f>
        <v>1.093772</v>
      </c>
      <c r="D18" s="2">
        <v>170</v>
      </c>
      <c r="E18" s="2">
        <f t="shared" ref="E18:E21" si="8">(B18+D18)/(B18/A18+D18/C18)</f>
        <v>1.0965285515607361</v>
      </c>
      <c r="F18" s="2">
        <f t="shared" si="1"/>
        <v>-0.47604250380549606</v>
      </c>
    </row>
    <row r="19" spans="1:6">
      <c r="A19" s="2">
        <f t="shared" si="5"/>
        <v>1.1017734615332837</v>
      </c>
      <c r="B19" s="2">
        <f t="shared" si="6"/>
        <v>90</v>
      </c>
      <c r="C19" s="2">
        <f t="shared" si="7"/>
        <v>1.093772</v>
      </c>
      <c r="D19" s="2">
        <v>180</v>
      </c>
      <c r="E19" s="2">
        <f t="shared" si="8"/>
        <v>1.0964262093101638</v>
      </c>
      <c r="F19" s="2">
        <f t="shared" si="1"/>
        <v>-0.48533136890758222</v>
      </c>
    </row>
    <row r="20" spans="1:6">
      <c r="A20" s="2">
        <f t="shared" si="5"/>
        <v>1.1017734615332837</v>
      </c>
      <c r="B20" s="2">
        <f t="shared" si="6"/>
        <v>90</v>
      </c>
      <c r="C20" s="2">
        <f t="shared" si="7"/>
        <v>1.093772</v>
      </c>
      <c r="D20" s="2">
        <v>190</v>
      </c>
      <c r="E20" s="2">
        <f t="shared" si="8"/>
        <v>1.0963311943245715</v>
      </c>
      <c r="F20" s="2">
        <f t="shared" si="1"/>
        <v>-0.49395519121857578</v>
      </c>
    </row>
    <row r="21" spans="1:6">
      <c r="A21" s="2">
        <f t="shared" si="5"/>
        <v>1.1017734615332837</v>
      </c>
      <c r="B21" s="2">
        <f t="shared" si="6"/>
        <v>90</v>
      </c>
      <c r="C21" s="2">
        <f t="shared" si="7"/>
        <v>1.093772</v>
      </c>
      <c r="D21" s="2">
        <v>200</v>
      </c>
      <c r="E21" s="2">
        <f t="shared" si="8"/>
        <v>1.0962427468987819</v>
      </c>
      <c r="F21" s="2">
        <f t="shared" si="1"/>
        <v>-0.50198292367698016</v>
      </c>
    </row>
    <row r="22" spans="1:6">
      <c r="A22" s="2">
        <f t="shared" si="5"/>
        <v>1.1017734615332837</v>
      </c>
      <c r="B22" s="2">
        <f t="shared" si="6"/>
        <v>90</v>
      </c>
      <c r="C22" s="2">
        <f t="shared" si="7"/>
        <v>1.093772</v>
      </c>
      <c r="D22" s="2">
        <v>210</v>
      </c>
      <c r="E22" s="2">
        <f t="shared" ref="E22:E27" si="9">(B22+D22)/(B22/A22+D22/C22)</f>
        <v>1.096160208842814</v>
      </c>
      <c r="F22" s="2">
        <f t="shared" ref="F22:F27" si="10">-100*(1-E22/A22)</f>
        <v>-0.50947430542191974</v>
      </c>
    </row>
    <row r="23" spans="1:6">
      <c r="A23" s="2">
        <f t="shared" si="5"/>
        <v>1.1017734615332837</v>
      </c>
      <c r="B23" s="2">
        <f t="shared" si="6"/>
        <v>90</v>
      </c>
      <c r="C23" s="2">
        <f t="shared" si="7"/>
        <v>1.093772</v>
      </c>
      <c r="D23" s="2">
        <v>220</v>
      </c>
      <c r="E23" s="2">
        <f t="shared" si="9"/>
        <v>1.0960830070738674</v>
      </c>
      <c r="F23" s="2">
        <f t="shared" si="10"/>
        <v>-0.51648135102992931</v>
      </c>
    </row>
    <row r="24" spans="1:6">
      <c r="A24" s="2">
        <f t="shared" si="5"/>
        <v>1.1017734615332837</v>
      </c>
      <c r="B24" s="2">
        <f t="shared" si="6"/>
        <v>90</v>
      </c>
      <c r="C24" s="2">
        <f t="shared" si="7"/>
        <v>1.093772</v>
      </c>
      <c r="D24" s="2">
        <v>230</v>
      </c>
      <c r="E24" s="2">
        <f t="shared" si="9"/>
        <v>1.0960106402911094</v>
      </c>
      <c r="F24" s="2">
        <f t="shared" si="10"/>
        <v>-0.52304955994805225</v>
      </c>
    </row>
    <row r="25" spans="1:6">
      <c r="A25" s="2">
        <f t="shared" si="5"/>
        <v>1.1017734615332837</v>
      </c>
      <c r="B25" s="2">
        <f t="shared" si="6"/>
        <v>90</v>
      </c>
      <c r="C25" s="2">
        <f t="shared" si="7"/>
        <v>1.093772</v>
      </c>
      <c r="D25" s="2">
        <v>240</v>
      </c>
      <c r="E25" s="2">
        <f t="shared" si="9"/>
        <v>1.0959426680780342</v>
      </c>
      <c r="F25" s="2">
        <f t="shared" si="10"/>
        <v>-0.52921890559380902</v>
      </c>
    </row>
    <row r="26" spans="1:6">
      <c r="A26" s="2">
        <f t="shared" si="5"/>
        <v>1.1017734615332837</v>
      </c>
      <c r="B26" s="2">
        <f t="shared" si="6"/>
        <v>90</v>
      </c>
      <c r="C26" s="2">
        <f t="shared" si="7"/>
        <v>1.093772</v>
      </c>
      <c r="D26" s="2">
        <v>250</v>
      </c>
      <c r="E26" s="2">
        <f t="shared" si="9"/>
        <v>1.0958787019316409</v>
      </c>
      <c r="F26" s="2">
        <f t="shared" si="10"/>
        <v>-0.5350246495717248</v>
      </c>
    </row>
    <row r="27" spans="1:6">
      <c r="A27" s="2">
        <f t="shared" si="5"/>
        <v>1.1017734615332837</v>
      </c>
      <c r="B27" s="2">
        <f t="shared" si="6"/>
        <v>90</v>
      </c>
      <c r="C27" s="2">
        <f t="shared" si="7"/>
        <v>1.093772</v>
      </c>
      <c r="D27" s="2">
        <v>260</v>
      </c>
      <c r="E27" s="2">
        <f t="shared" si="9"/>
        <v>1.0958183978323419</v>
      </c>
      <c r="F27" s="2">
        <f t="shared" si="10"/>
        <v>-0.54049801604899583</v>
      </c>
    </row>
    <row r="28" spans="1:6">
      <c r="A28" s="2">
        <f t="shared" si="5"/>
        <v>1.1017734615332837</v>
      </c>
      <c r="B28" s="2">
        <f t="shared" si="6"/>
        <v>90</v>
      </c>
      <c r="C28" s="2">
        <f t="shared" si="7"/>
        <v>1.093772</v>
      </c>
      <c r="D28" s="2">
        <v>270</v>
      </c>
      <c r="E28" s="2">
        <f t="shared" ref="E28:E38" si="11">(B28+D28)/(B28/A28+D28/C28)</f>
        <v>1.095761450054475</v>
      </c>
      <c r="F28" s="2">
        <f t="shared" ref="F28:F38" si="12">-100*(1-E28/A28)</f>
        <v>-0.54566675353044936</v>
      </c>
    </row>
    <row r="29" spans="1:6">
      <c r="A29" s="2">
        <f t="shared" si="5"/>
        <v>1.1017734615332837</v>
      </c>
      <c r="B29" s="2">
        <f t="shared" si="6"/>
        <v>90</v>
      </c>
      <c r="C29" s="2">
        <f t="shared" si="7"/>
        <v>1.093772</v>
      </c>
      <c r="D29" s="2">
        <v>280</v>
      </c>
      <c r="E29" s="2">
        <f t="shared" si="11"/>
        <v>1.0957075859822893</v>
      </c>
      <c r="F29" s="2">
        <f t="shared" si="12"/>
        <v>-0.55055560537397019</v>
      </c>
    </row>
    <row r="30" spans="1:6">
      <c r="A30" s="2">
        <f t="shared" si="5"/>
        <v>1.1017734615332837</v>
      </c>
      <c r="B30" s="2">
        <f t="shared" si="6"/>
        <v>90</v>
      </c>
      <c r="C30" s="2">
        <f t="shared" si="7"/>
        <v>1.093772</v>
      </c>
      <c r="D30" s="2">
        <v>290</v>
      </c>
      <c r="E30" s="2">
        <f t="shared" si="11"/>
        <v>1.0956565617458729</v>
      </c>
      <c r="F30" s="2">
        <f t="shared" si="12"/>
        <v>-0.55518670588582397</v>
      </c>
    </row>
    <row r="31" spans="1:6">
      <c r="A31" s="2">
        <f t="shared" si="5"/>
        <v>1.1017734615332837</v>
      </c>
      <c r="B31" s="2">
        <f t="shared" si="6"/>
        <v>90</v>
      </c>
      <c r="C31" s="2">
        <f t="shared" si="7"/>
        <v>1.093772</v>
      </c>
      <c r="D31" s="2">
        <v>300</v>
      </c>
      <c r="E31" s="2">
        <f t="shared" si="11"/>
        <v>1.0956081585296016</v>
      </c>
      <c r="F31" s="2">
        <f t="shared" si="12"/>
        <v>-0.55957991537590734</v>
      </c>
    </row>
    <row r="32" spans="1:6">
      <c r="A32" s="2">
        <f t="shared" si="5"/>
        <v>1.1017734615332837</v>
      </c>
      <c r="B32" s="2">
        <f t="shared" si="6"/>
        <v>90</v>
      </c>
      <c r="C32" s="2">
        <f t="shared" si="7"/>
        <v>1.093772</v>
      </c>
      <c r="D32" s="2">
        <v>310</v>
      </c>
      <c r="E32" s="2">
        <f t="shared" si="11"/>
        <v>1.0955621794352273</v>
      </c>
      <c r="F32" s="2">
        <f t="shared" si="12"/>
        <v>-0.56375310487262187</v>
      </c>
    </row>
    <row r="33" spans="1:6">
      <c r="A33" s="2">
        <f t="shared" si="5"/>
        <v>1.1017734615332837</v>
      </c>
      <c r="B33" s="2">
        <f t="shared" si="6"/>
        <v>90</v>
      </c>
      <c r="C33" s="2">
        <f t="shared" si="7"/>
        <v>1.093772</v>
      </c>
      <c r="D33" s="2">
        <v>320</v>
      </c>
      <c r="E33" s="2">
        <f t="shared" si="11"/>
        <v>1.0955184468047592</v>
      </c>
      <c r="F33" s="2">
        <f t="shared" si="12"/>
        <v>-0.56772239910550804</v>
      </c>
    </row>
    <row r="34" spans="1:6">
      <c r="A34" s="2">
        <f t="shared" si="5"/>
        <v>1.1017734615332837</v>
      </c>
      <c r="B34" s="2">
        <f t="shared" si="6"/>
        <v>90</v>
      </c>
      <c r="C34" s="2">
        <f t="shared" si="7"/>
        <v>1.093772</v>
      </c>
      <c r="D34" s="2">
        <v>330</v>
      </c>
      <c r="E34" s="2">
        <f t="shared" si="11"/>
        <v>1.0954767999263875</v>
      </c>
      <c r="F34" s="2">
        <f t="shared" si="12"/>
        <v>-0.5715023847219447</v>
      </c>
    </row>
    <row r="35" spans="1:6">
      <c r="A35" s="2">
        <f t="shared" si="5"/>
        <v>1.1017734615332837</v>
      </c>
      <c r="B35" s="2">
        <f t="shared" si="6"/>
        <v>90</v>
      </c>
      <c r="C35" s="2">
        <f t="shared" si="7"/>
        <v>1.093772</v>
      </c>
      <c r="D35" s="2">
        <v>340</v>
      </c>
      <c r="E35" s="2">
        <f t="shared" si="11"/>
        <v>1.0954370930609965</v>
      </c>
      <c r="F35" s="2">
        <f t="shared" si="12"/>
        <v>-0.57510628940627972</v>
      </c>
    </row>
    <row r="36" spans="1:6">
      <c r="A36" s="2">
        <f t="shared" si="5"/>
        <v>1.1017734615332837</v>
      </c>
      <c r="B36" s="2">
        <f t="shared" si="6"/>
        <v>90</v>
      </c>
      <c r="C36" s="2">
        <f t="shared" si="7"/>
        <v>1.093772</v>
      </c>
      <c r="D36" s="2">
        <v>350</v>
      </c>
      <c r="E36" s="2">
        <f t="shared" si="11"/>
        <v>1.0953991937381919</v>
      </c>
      <c r="F36" s="2">
        <f t="shared" si="12"/>
        <v>-0.57854613653708364</v>
      </c>
    </row>
    <row r="37" spans="1:6">
      <c r="A37" s="2">
        <f t="shared" si="5"/>
        <v>1.1017734615332837</v>
      </c>
      <c r="B37" s="2">
        <f t="shared" si="6"/>
        <v>90</v>
      </c>
      <c r="C37" s="2">
        <f t="shared" si="7"/>
        <v>1.093772</v>
      </c>
      <c r="D37" s="2">
        <v>360</v>
      </c>
      <c r="E37" s="2">
        <f t="shared" si="11"/>
        <v>1.0953629812798533</v>
      </c>
      <c r="F37" s="2">
        <f t="shared" si="12"/>
        <v>-0.58183287919362225</v>
      </c>
    </row>
    <row r="38" spans="1:6">
      <c r="A38" s="2">
        <f t="shared" si="5"/>
        <v>1.1017734615332837</v>
      </c>
      <c r="B38" s="2">
        <f t="shared" si="6"/>
        <v>90</v>
      </c>
      <c r="C38" s="2">
        <f t="shared" si="7"/>
        <v>1.093772</v>
      </c>
      <c r="D38" s="2">
        <v>370</v>
      </c>
      <c r="E38" s="2">
        <f t="shared" si="11"/>
        <v>1.0953283455165417</v>
      </c>
      <c r="F38" s="2">
        <f t="shared" si="12"/>
        <v>-0.58497651665820882</v>
      </c>
    </row>
    <row r="39" spans="1:6">
      <c r="A39" s="2">
        <f t="shared" si="5"/>
        <v>1.1017734615332837</v>
      </c>
      <c r="B39" s="2">
        <f t="shared" si="6"/>
        <v>90</v>
      </c>
      <c r="C39" s="2">
        <f t="shared" si="7"/>
        <v>1.093772</v>
      </c>
      <c r="D39" s="2">
        <v>380</v>
      </c>
      <c r="E39" s="2">
        <f t="shared" ref="E39:E41" si="13">(B39+D39)/(B39/A39+D39/C39)</f>
        <v>1.0952951856679976</v>
      </c>
      <c r="F39" s="2">
        <f t="shared" ref="F39:F41" si="14">-100*(1-E39/A39)</f>
        <v>-0.5879861960253252</v>
      </c>
    </row>
    <row r="40" spans="1:6">
      <c r="A40" s="2">
        <f t="shared" si="5"/>
        <v>1.1017734615332837</v>
      </c>
      <c r="B40" s="2">
        <f t="shared" si="6"/>
        <v>90</v>
      </c>
      <c r="C40" s="2">
        <f t="shared" si="7"/>
        <v>1.093772</v>
      </c>
      <c r="D40" s="2">
        <v>390</v>
      </c>
      <c r="E40" s="2">
        <f t="shared" si="13"/>
        <v>1.0952634093637681</v>
      </c>
      <c r="F40" s="2">
        <f t="shared" si="14"/>
        <v>-0.59087030109219452</v>
      </c>
    </row>
    <row r="41" spans="1:6">
      <c r="A41" s="2">
        <f t="shared" si="5"/>
        <v>1.1017734615332837</v>
      </c>
      <c r="B41" s="2">
        <f t="shared" si="6"/>
        <v>90</v>
      </c>
      <c r="C41" s="2">
        <f t="shared" si="7"/>
        <v>1.093772</v>
      </c>
      <c r="D41" s="2">
        <v>400</v>
      </c>
      <c r="E41" s="2">
        <f t="shared" si="13"/>
        <v>1.0952329317839171</v>
      </c>
      <c r="F41" s="2">
        <f t="shared" si="14"/>
        <v>-0.5936365303503055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001593-1</vt:lpstr>
      <vt:lpstr>000961</vt:lpstr>
      <vt:lpstr>000962</vt:lpstr>
      <vt:lpstr>001593-2</vt:lpstr>
      <vt:lpstr>suggest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齊振華</dc:creator>
  <cp:lastModifiedBy>Rocky</cp:lastModifiedBy>
  <dcterms:created xsi:type="dcterms:W3CDTF">2019-05-15T00:13:11Z</dcterms:created>
  <dcterms:modified xsi:type="dcterms:W3CDTF">2019-05-28T14:58:04Z</dcterms:modified>
</cp:coreProperties>
</file>